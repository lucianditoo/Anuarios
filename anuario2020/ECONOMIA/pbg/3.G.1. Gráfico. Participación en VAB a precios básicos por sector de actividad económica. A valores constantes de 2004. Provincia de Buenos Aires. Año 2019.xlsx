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18870" windowHeight="6900"/>
  </bookViews>
  <sheets>
    <sheet name="3. G. 1." sheetId="1" r:id="rId1"/>
    <sheet name="Hoja1" sheetId="2" state="hidden" r:id="rId2"/>
  </sheets>
  <definedNames>
    <definedName name="_xlnm.Print_Area" localSheetId="0">'3. G. 1.'!$A$1:$H$27</definedName>
  </definedNames>
  <calcPr calcId="162913"/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<sst xmlns="http://schemas.openxmlformats.org/spreadsheetml/2006/main" count="45" uniqueCount="42">
  <si>
    <t>Total VAB a precios básicos</t>
  </si>
  <si>
    <t>SECTORES PRODUCTORES DE BIENES</t>
  </si>
  <si>
    <t>A</t>
  </si>
  <si>
    <t>B</t>
  </si>
  <si>
    <t>C</t>
  </si>
  <si>
    <t>D</t>
  </si>
  <si>
    <t>E</t>
  </si>
  <si>
    <t>F</t>
  </si>
  <si>
    <t>SECTORES PRODUCTORES DE SERVICIOS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</si>
  <si>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</si>
  <si>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</si>
  <si>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</si>
  <si>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</si>
  <si>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</si>
  <si>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</si>
  <si>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</si>
  <si>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</si>
  <si>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</si>
  <si>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</si>
  <si>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Comercio al por mayor, al por menor y reparaciones</t>
  </si>
  <si>
    <t>Servicios de hotelería y restaurantes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</si>
  <si>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</si>
  <si>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</si>
  <si>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</si>
  <si>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</si>
  <si>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</si>
  <si>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</si>
  <si>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>Comercio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</si>
  <si>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</si>
  <si>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</si>
  <si>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</si>
  <si>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</si>
  <si>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</si>
  <si>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</si>
  <si>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</si>
  <si>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</si>
  <si>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</si>
  <si>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r>
      <t>Nota:</t>
    </r>
    <r>
      <rPr>
        <sz val="8"/>
        <rFont val="Calibri"/>
        <family val="2"/>
        <scheme val="minor"/>
      </rPr>
      <t xml:space="preserve"> 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Datos preliminares.</t>
    </r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</si>
  <si>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</si>
  <si>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</si>
  <si>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En porcentaje</t>
  </si>
  <si>
    <r>
      <t>3.G.1.Participación en el Valor Agregado Bruto a precios básicos de 2004 por sector de actividad económica. Provincia de Buenos Aires. Año 2019</t>
    </r>
    <r>
      <rPr>
        <b/>
        <vertAlign val="superscript"/>
        <sz val="10"/>
        <color theme="1"/>
        <rFont val="Calibri"/>
        <family val="2"/>
        <scheme val="minor"/>
      </rPr>
      <t xml:space="preserve"> 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</si>
</sst>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4" fillId="2" borderId="0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>
      <alignment vertical="center"/>
    </xf>
    <xf numFmtId="0" fontId="4" fillId="0" borderId="0" xfId="0" applyFont="1"/>
    <xf numFmtId="0" fontId="5" fillId="2" borderId="0" xfId="0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 applyProtection="1">
      <alignment vertical="center"/>
    </xf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Border="1" applyAlignment="1">
      <alignment vertical="center"/>
    </xf>
    <xf numFmtId="165" fontId="4" fillId="2" borderId="0" xfId="1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3" fillId="2" borderId="0" xfId="0" applyFont="1" applyFill="1"/>
    <xf numFmtId="0" fontId="9" fillId="2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" fillId="2" borderId="0" xfId="0" applyFont="1" applyFill="1"/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9AC3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1-61C2-43F8-9925-6FFCA74E9108}"/>
              </c:ext>
            </c:extLst>
          </c:dPt>
          <c:dPt>
            <c:idx val="7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3-61C2-43F8-9925-6FFCA74E9108}"/>
              </c:ext>
            </c:extLst>
          </c:dPt>
          <c:dPt>
            <c:idx val="8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5-61C2-43F8-9925-6FFCA74E9108}"/>
              </c:ext>
            </c:extLst>
          </c:dPt>
          <c:dPt>
            <c:idx val="9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7-61C2-43F8-9925-6FFCA74E9108}"/>
              </c:ext>
            </c:extLst>
          </c:dPt>
          <c:dPt>
            <c:idx val="10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9-61C2-43F8-9925-6FFCA74E9108}"/>
              </c:ext>
            </c:extLst>
          </c:dPt>
          <c:dPt>
            <c:idx val="11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B-61C2-43F8-9925-6FFCA74E9108}"/>
              </c:ext>
            </c:extLst>
          </c:dPt>
          <c:dPt>
            <c:idx val="12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D-61C2-43F8-9925-6FFCA74E9108}"/>
              </c:ext>
            </c:extLst>
          </c:dPt>
          <c:dPt>
            <c:idx val="13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F-61C2-43F8-9925-6FFCA74E9108}"/>
              </c:ext>
            </c:extLst>
          </c:dPt>
          <c:dPt>
            <c:idx val="14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11-61C2-43F8-9925-6FFCA74E9108}"/>
              </c:ext>
            </c:extLst>
          </c:dPt>
          <c:dPt>
            <c:idx val="15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13-61C2-43F8-9925-6FFCA74E910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Hoja1!$C$7:$C$22</c:f>
              <c:strCache>
                <c:ptCount val="16"/>
                <c:pt idx="0">
                  <c:v>Pesca y servicios conexos </c:v>
                </c:pt>
                <c:pt idx="1">
                  <c:v>Explotación de minas y canteras </c:v>
                </c:pt>
                <c:pt idx="2">
                  <c:v>Servicios de los hogares privados que contratan servicio doméstico </c:v>
                </c:pt>
                <c:pt idx="3">
                  <c:v>Servicios de hotelería y restaurantes </c:v>
                </c:pt>
                <c:pt idx="4">
                  <c:v>Electricidad, gas y agua </c:v>
                </c:pt>
                <c:pt idx="5">
                  <c:v>Intermediación financiera y otros servicios financieros </c:v>
                </c:pt>
                <c:pt idx="6">
                  <c:v>Otros servicios comunitarios, sociales y personales </c:v>
                </c:pt>
                <c:pt idx="7">
                  <c:v>Servicios sociales y de salud </c:v>
                </c:pt>
                <c:pt idx="8">
                  <c:v>Administración pública, defensa y seguridad social obligatoria </c:v>
                </c:pt>
                <c:pt idx="9">
                  <c:v>Construcción </c:v>
                </c:pt>
                <c:pt idx="10">
                  <c:v>Enseñanza </c:v>
                </c:pt>
                <c:pt idx="11">
                  <c:v>Servicio de transporte, de almacenamiento y de comunicaciones </c:v>
                </c:pt>
                <c:pt idx="12">
                  <c:v>Agricultura, ganadería, caza y silvicultura </c:v>
                </c:pt>
                <c:pt idx="13">
                  <c:v>Servicios inmobiliarios, empresariales y de alquiler </c:v>
                </c:pt>
                <c:pt idx="14">
                  <c:v>Comercio</c:v>
                </c:pt>
                <c:pt idx="15">
                  <c:v>Industria Manufacturera </c:v>
                </c:pt>
              </c:strCache>
            </c:strRef>
          </c:cat>
          <c:val>
            <c:numRef>
              <c:f>Hoja1!$E$7:$E$22</c:f>
              <c:numCache>
                <c:formatCode>0.0%</c:formatCode>
                <c:ptCount val="16"/>
                <c:pt idx="0">
                  <c:v>2.3661811469428847E-3</c:v>
                </c:pt>
                <c:pt idx="1">
                  <c:v>2.9760013403651946E-3</c:v>
                </c:pt>
                <c:pt idx="2">
                  <c:v>9.0310864675158687E-3</c:v>
                </c:pt>
                <c:pt idx="3">
                  <c:v>1.4065675697571755E-2</c:v>
                </c:pt>
                <c:pt idx="4">
                  <c:v>1.8269448725270025E-2</c:v>
                </c:pt>
                <c:pt idx="5">
                  <c:v>2.1927159543147952E-2</c:v>
                </c:pt>
                <c:pt idx="6">
                  <c:v>2.3303270541391852E-2</c:v>
                </c:pt>
                <c:pt idx="7">
                  <c:v>3.6346112500140554E-2</c:v>
                </c:pt>
                <c:pt idx="8">
                  <c:v>3.9494514876800328E-2</c:v>
                </c:pt>
                <c:pt idx="9">
                  <c:v>4.0797436927347115E-2</c:v>
                </c:pt>
                <c:pt idx="10">
                  <c:v>4.2499451354613527E-2</c:v>
                </c:pt>
                <c:pt idx="11">
                  <c:v>0.10339145700600129</c:v>
                </c:pt>
                <c:pt idx="12">
                  <c:v>0.10428092550740312</c:v>
                </c:pt>
                <c:pt idx="13">
                  <c:v>0.12232810297159503</c:v>
                </c:pt>
                <c:pt idx="14">
                  <c:v>0.15176358880196808</c:v>
                </c:pt>
                <c:pt idx="15">
                  <c:v>0.26715958659192529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C2-43F8-9925-6FFCA74E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64794624"/>
        <c:axId val="364787552"/>
      </c:barChart>
      <c:valAx>
        <c:axId val="364787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crossAx val="364794624"/>
        <c:crosses val="autoZero"/>
        <c:crossBetween val="between"/>
      </c:valAx>
      <c:catAx>
        <c:axId val="36479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crossAx val="36478755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14</xdr:col>
      <xdr:colOff>76199</xdr:colOff>
      <xdr:row>26</xdr:row>
      <xdr:rowOff>161925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workbookViewId="0"/>
  </sheetViews>
  <sheetFormatPr baseColWidth="10" defaultRowHeight="15" x14ac:dyDescent="0.25"/>
  <cols>
    <col min="1" max="3" width="11" style="14"/>
    <col min="4" max="4" width="3" style="14" customWidth="1"/>
    <col min="5" max="16384" width="11" style="14"/>
  </cols>
  <sheetData>
    <row r="1" spans="1:7" x14ac:dyDescent="0.25">
      <c r="A1" s="17" t="s">
        <v>41</v>
      </c>
      <c r="B1" s="18"/>
      <c r="C1" s="18"/>
      <c r="D1" s="18"/>
      <c r="E1" s="18"/>
      <c r="F1" s="18"/>
      <c r="G1" s="18"/>
    </row>
    <row r="2" spans="1:7" x14ac:dyDescent="0.25">
      <c r="A2" s="17" t="s">
        <v>40</v>
      </c>
      <c r="B2" s="18"/>
      <c r="C2" s="18"/>
      <c r="D2" s="18"/>
      <c r="E2" s="18"/>
      <c r="F2" s="18"/>
      <c r="G2" s="18"/>
    </row>
    <row r="5" spans="1:7" s="19" customFormat="1" ht="18" customHeight="1" x14ac:dyDescent="0.2"/>
    <row r="6" spans="1:7" s="19" customFormat="1" ht="18" customHeight="1" x14ac:dyDescent="0.2"/>
    <row r="7" spans="1:7" s="19" customFormat="1" ht="18" customHeight="1" x14ac:dyDescent="0.2"/>
    <row r="8" spans="1:7" s="19" customFormat="1" ht="18" customHeight="1" x14ac:dyDescent="0.2"/>
    <row r="9" spans="1:7" s="19" customFormat="1" ht="18" customHeight="1" x14ac:dyDescent="0.2"/>
    <row r="10" spans="1:7" s="19" customFormat="1" ht="18" customHeight="1" x14ac:dyDescent="0.2"/>
    <row r="11" spans="1:7" s="19" customFormat="1" ht="18" customHeight="1" x14ac:dyDescent="0.2"/>
    <row r="12" spans="1:7" s="19" customFormat="1" ht="18" customHeight="1" x14ac:dyDescent="0.2"/>
    <row r="13" spans="1:7" s="19" customFormat="1" ht="18" customHeight="1" x14ac:dyDescent="0.2"/>
    <row r="14" spans="1:7" s="19" customFormat="1" ht="18" customHeight="1" x14ac:dyDescent="0.2"/>
    <row r="15" spans="1:7" s="19" customFormat="1" ht="18" customHeight="1" x14ac:dyDescent="0.2"/>
    <row r="16" spans="1:7" s="19" customFormat="1" ht="18" customHeight="1" x14ac:dyDescent="0.2"/>
    <row r="17" spans="1:5" s="19" customFormat="1" ht="18" customHeight="1" x14ac:dyDescent="0.2"/>
    <row r="18" spans="1:5" s="19" customFormat="1" ht="18" customHeight="1" x14ac:dyDescent="0.2"/>
    <row r="19" spans="1:5" s="19" customFormat="1" ht="18" customHeight="1" x14ac:dyDescent="0.2"/>
    <row r="20" spans="1:5" s="19" customFormat="1" ht="18" customHeight="1" x14ac:dyDescent="0.2"/>
    <row r="21" spans="1:5" s="19" customFormat="1" ht="18" customHeight="1" x14ac:dyDescent="0.2"/>
    <row r="22" spans="1:5" s="19" customFormat="1" ht="18" customHeight="1" x14ac:dyDescent="0.2"/>
    <row r="23" spans="1:5" s="19" customFormat="1" ht="18" customHeight="1" x14ac:dyDescent="0.2"/>
    <row r="24" spans="1:5" s="20" customFormat="1" ht="18" customHeight="1" x14ac:dyDescent="0.2"/>
    <row r="25" spans="1:5" s="22" customFormat="1" ht="18" customHeight="1" x14ac:dyDescent="0.2">
      <c r="A25" s="21"/>
      <c r="D25" s="21" t="s">
        <v>8</v>
      </c>
    </row>
    <row r="26" spans="1:5" s="22" customFormat="1" ht="18" customHeight="1" x14ac:dyDescent="0.2">
      <c r="A26" s="21"/>
      <c r="D26" s="22" t="s">
        <v>9</v>
      </c>
      <c r="E26" s="22" t="s">
        <v>19</v>
      </c>
    </row>
    <row r="27" spans="1:5" s="22" customFormat="1" ht="18" customHeight="1" x14ac:dyDescent="0.2">
      <c r="A27" s="21"/>
      <c r="D27" s="22" t="s">
        <v>10</v>
      </c>
      <c r="E27" s="22" t="s">
        <v>20</v>
      </c>
    </row>
    <row r="28" spans="1:5" x14ac:dyDescent="0.25">
      <c r="A28" s="13" t="s">
        <v>37</v>
      </c>
      <c r="D28" s="15"/>
    </row>
    <row r="29" spans="1:5" x14ac:dyDescent="0.25">
      <c r="A29" s="16" t="s">
        <v>38</v>
      </c>
    </row>
    <row r="30" spans="1:5" x14ac:dyDescent="0.25">
      <c r="A30" s="16" t="s">
        <v>39</v>
      </c>
    </row>
  </sheetData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2"/>
  <sheetViews>
    <sheetView workbookViewId="0">
      <selection activeCell="E7" sqref="E7:E22"/>
    </sheetView>
  </sheetViews>
  <sheetFormatPr baseColWidth="10" defaultRowHeight="12" x14ac:dyDescent="0.2"/>
  <cols>
    <col min="1" max="1" width="11" style="4"/>
    <col min="2" max="2" width="2.125" style="4" bestFit="1" customWidth="1"/>
    <col min="3" max="3" width="47.875" style="4" bestFit="1" customWidth="1"/>
    <col min="4" max="4" width="5.75" style="4" bestFit="1" customWidth="1"/>
    <col min="5" max="5" width="4.625" style="4" bestFit="1" customWidth="1"/>
    <col min="6" max="16384" width="11" style="4"/>
  </cols>
  <sheetData>
    <row r="4" spans="2:5" x14ac:dyDescent="0.2">
      <c r="B4" s="1"/>
      <c r="C4" s="2" t="s">
        <v>0</v>
      </c>
      <c r="D4" s="3">
        <v>202589.70678745949</v>
      </c>
      <c r="E4" s="1">
        <f>+D4/$D$4*100</f>
        <v>100</v>
      </c>
    </row>
    <row r="5" spans="2:5" x14ac:dyDescent="0.2">
      <c r="B5" s="1"/>
      <c r="C5" s="5" t="s">
        <v>1</v>
      </c>
      <c r="D5" s="3">
        <v>88298.638664107697</v>
      </c>
      <c r="E5" s="6">
        <f>+D5/$D$4*100</f>
        <v>43.58495802392536</v>
      </c>
    </row>
    <row r="6" spans="2:5" x14ac:dyDescent="0.2">
      <c r="B6" s="1"/>
      <c r="C6" s="5" t="s">
        <v>8</v>
      </c>
      <c r="D6" s="3">
        <v>114291.06812335178</v>
      </c>
      <c r="E6" s="6">
        <f>+D6/$D$4*100</f>
        <v>56.415041976074633</v>
      </c>
    </row>
    <row r="7" spans="2:5" x14ac:dyDescent="0.2">
      <c r="B7" s="7" t="s">
        <v>3</v>
      </c>
      <c r="C7" s="8" t="s">
        <v>22</v>
      </c>
      <c r="D7" s="9">
        <v>479.36394476517364</v>
      </c>
      <c r="E7" s="12">
        <f>+D7/$D$4</f>
        <v>2.3661811469428847E-3</v>
      </c>
    </row>
    <row r="8" spans="2:5" x14ac:dyDescent="0.2">
      <c r="B8" s="7" t="s">
        <v>4</v>
      </c>
      <c r="C8" s="8" t="s">
        <v>23</v>
      </c>
      <c r="D8" s="9">
        <v>602.90723894367125</v>
      </c>
      <c r="E8" s="12">
        <f t="shared" ref="E8:E22" si="0">+D8/$D$4</f>
        <v>2.9760013403651946E-3</v>
      </c>
    </row>
    <row r="9" spans="2:5" x14ac:dyDescent="0.2">
      <c r="B9" s="7" t="s">
        <v>18</v>
      </c>
      <c r="C9" s="1" t="s">
        <v>36</v>
      </c>
      <c r="D9" s="11">
        <v>1829.6051594262333</v>
      </c>
      <c r="E9" s="12">
        <f t="shared" si="0"/>
        <v>9.0310864675158687E-3</v>
      </c>
    </row>
    <row r="10" spans="2:5" x14ac:dyDescent="0.2">
      <c r="B10" s="10" t="s">
        <v>10</v>
      </c>
      <c r="C10" s="1" t="s">
        <v>28</v>
      </c>
      <c r="D10" s="9">
        <v>2849.5611153385566</v>
      </c>
      <c r="E10" s="12">
        <f t="shared" si="0"/>
        <v>1.4065675697571755E-2</v>
      </c>
    </row>
    <row r="11" spans="2:5" x14ac:dyDescent="0.2">
      <c r="B11" s="7" t="s">
        <v>6</v>
      </c>
      <c r="C11" s="8" t="s">
        <v>25</v>
      </c>
      <c r="D11" s="9">
        <v>3701.2022604209801</v>
      </c>
      <c r="E11" s="12">
        <f t="shared" si="0"/>
        <v>1.8269448725270025E-2</v>
      </c>
    </row>
    <row r="12" spans="2:5" x14ac:dyDescent="0.2">
      <c r="B12" s="10" t="s">
        <v>12</v>
      </c>
      <c r="C12" s="1" t="s">
        <v>30</v>
      </c>
      <c r="D12" s="9">
        <v>4442.2168225281875</v>
      </c>
      <c r="E12" s="12">
        <f t="shared" si="0"/>
        <v>2.1927159543147952E-2</v>
      </c>
    </row>
    <row r="13" spans="2:5" x14ac:dyDescent="0.2">
      <c r="B13" s="10" t="s">
        <v>17</v>
      </c>
      <c r="C13" s="1" t="s">
        <v>35</v>
      </c>
      <c r="D13" s="9">
        <v>4721.0027461694181</v>
      </c>
      <c r="E13" s="12">
        <f t="shared" si="0"/>
        <v>2.3303270541391852E-2</v>
      </c>
    </row>
    <row r="14" spans="2:5" x14ac:dyDescent="0.2">
      <c r="B14" s="10" t="s">
        <v>16</v>
      </c>
      <c r="C14" s="1" t="s">
        <v>34</v>
      </c>
      <c r="D14" s="9">
        <v>7363.3482742674914</v>
      </c>
      <c r="E14" s="12">
        <f t="shared" si="0"/>
        <v>3.6346112500140554E-2</v>
      </c>
    </row>
    <row r="15" spans="2:5" x14ac:dyDescent="0.2">
      <c r="B15" s="10" t="s">
        <v>14</v>
      </c>
      <c r="C15" s="1" t="s">
        <v>32</v>
      </c>
      <c r="D15" s="9">
        <v>8001.1821886039361</v>
      </c>
      <c r="E15" s="12">
        <f t="shared" si="0"/>
        <v>3.9494514876800328E-2</v>
      </c>
    </row>
    <row r="16" spans="2:5" x14ac:dyDescent="0.2">
      <c r="B16" s="7" t="s">
        <v>7</v>
      </c>
      <c r="C16" s="8" t="s">
        <v>26</v>
      </c>
      <c r="D16" s="9">
        <v>8265.140784791125</v>
      </c>
      <c r="E16" s="12">
        <f t="shared" si="0"/>
        <v>4.0797436927347115E-2</v>
      </c>
    </row>
    <row r="17" spans="2:5" x14ac:dyDescent="0.2">
      <c r="B17" s="10" t="s">
        <v>15</v>
      </c>
      <c r="C17" s="1" t="s">
        <v>33</v>
      </c>
      <c r="D17" s="9">
        <v>8609.9513885590532</v>
      </c>
      <c r="E17" s="12">
        <f t="shared" si="0"/>
        <v>4.2499451354613527E-2</v>
      </c>
    </row>
    <row r="18" spans="2:5" x14ac:dyDescent="0.2">
      <c r="B18" s="10" t="s">
        <v>11</v>
      </c>
      <c r="C18" s="1" t="s">
        <v>29</v>
      </c>
      <c r="D18" s="9">
        <v>20946.044959174025</v>
      </c>
      <c r="E18" s="12">
        <f t="shared" si="0"/>
        <v>0.10339145700600129</v>
      </c>
    </row>
    <row r="19" spans="2:5" x14ac:dyDescent="0.2">
      <c r="B19" s="7" t="s">
        <v>2</v>
      </c>
      <c r="C19" s="8" t="s">
        <v>21</v>
      </c>
      <c r="D19" s="9">
        <v>21126.242122069703</v>
      </c>
      <c r="E19" s="12">
        <f t="shared" si="0"/>
        <v>0.10428092550740312</v>
      </c>
    </row>
    <row r="20" spans="2:5" x14ac:dyDescent="0.2">
      <c r="B20" s="10" t="s">
        <v>13</v>
      </c>
      <c r="C20" s="1" t="s">
        <v>31</v>
      </c>
      <c r="D20" s="9">
        <v>24782.414512881591</v>
      </c>
      <c r="E20" s="12">
        <f t="shared" si="0"/>
        <v>0.12232810297159503</v>
      </c>
    </row>
    <row r="21" spans="2:5" x14ac:dyDescent="0.2">
      <c r="B21" s="10" t="s">
        <v>9</v>
      </c>
      <c r="C21" s="1" t="s">
        <v>27</v>
      </c>
      <c r="D21" s="9">
        <v>30745.740956403286</v>
      </c>
      <c r="E21" s="12">
        <f t="shared" si="0"/>
        <v>0.15176358880196808</v>
      </c>
    </row>
    <row r="22" spans="2:5" x14ac:dyDescent="0.2">
      <c r="B22" s="7" t="s">
        <v>5</v>
      </c>
      <c r="C22" s="8" t="s">
        <v>24</v>
      </c>
      <c r="D22" s="9">
        <v>54123.782313117044</v>
      </c>
      <c r="E22" s="12">
        <f t="shared" si="0"/>
        <v>0.26715958659192529</v>
      </c>
    </row>
  </sheetData>
  <sortState ref="B7:E22">
    <sortCondition ref="E7:E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 G. 1.</vt:lpstr>
      <vt:lpstr>Hoja1</vt:lpstr>
      <vt:lpstr>'3. G. 1.'!Área_de_impresión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Trini Pagella</cp:lastModifiedBy>
  <cp:lastPrinted>2019-02-15T15:52:19Z</cp:lastPrinted>
  <dcterms:created xsi:type="dcterms:W3CDTF">2018-10-23T15:15:06Z</dcterms:created>
  <dcterms:modified xsi:type="dcterms:W3CDTF">2020-10-17T16:30:49Z</dcterms:modified>
</cp:coreProperties>
</file>