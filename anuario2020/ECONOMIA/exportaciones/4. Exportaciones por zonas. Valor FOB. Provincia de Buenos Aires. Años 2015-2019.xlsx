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xportaciones\"/>
    </mc:Choice>
  </mc:AlternateContent>
  <bookViews>
    <workbookView xWindow="0" yWindow="0" windowWidth="20460" windowHeight="6975"/>
  </bookViews>
  <sheets>
    <sheet name="4" sheetId="1" r:id="rId1"/>
    <sheet name="Hoja2" sheetId="3" r:id="rId2"/>
  </sheets>
  <definedNames>
    <definedName name="_xlnm.Print_Area" localSheetId="0">'4'!$A$1:$D$30</definedName>
  </definedNames>
  <calcPr calcId="162913"/>
</workbook>
</file>

<file path=xl/calcChain.xml><?xml version="1.0" encoding="utf-8"?>
<calcChain xmlns="http://schemas.openxmlformats.org/spreadsheetml/2006/main">
  <c r="P21" i="3" l="1"/>
  <c r="O21" i="3"/>
  <c r="N21" i="3"/>
  <c r="M21" i="3"/>
  <c r="L21" i="3"/>
  <c r="K21" i="3"/>
  <c r="J21" i="3"/>
  <c r="P20" i="3"/>
  <c r="O20" i="3"/>
  <c r="N20" i="3"/>
  <c r="M20" i="3"/>
  <c r="L20" i="3"/>
  <c r="K20" i="3"/>
  <c r="J20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15" i="3"/>
  <c r="O15" i="3"/>
  <c r="N15" i="3"/>
  <c r="M15" i="3"/>
  <c r="L15" i="3"/>
  <c r="K15" i="3"/>
  <c r="J15" i="3"/>
  <c r="P14" i="3"/>
  <c r="O14" i="3"/>
  <c r="N14" i="3"/>
  <c r="M14" i="3"/>
  <c r="L14" i="3"/>
  <c r="K14" i="3"/>
  <c r="J14" i="3"/>
  <c r="P13" i="3"/>
  <c r="O13" i="3"/>
  <c r="N13" i="3"/>
  <c r="M13" i="3"/>
  <c r="L13" i="3"/>
  <c r="K13" i="3"/>
  <c r="J13" i="3"/>
  <c r="P12" i="3"/>
  <c r="O12" i="3"/>
  <c r="N12" i="3"/>
  <c r="M12" i="3"/>
  <c r="L12" i="3"/>
  <c r="K12" i="3"/>
  <c r="J12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</calcChain>
</file>

<file path=xl/sharedStrings.xml><?xml version="1.0" encoding="utf-8"?>
<sst xmlns="http://schemas.openxmlformats.org/spreadsheetml/2006/main" count="43" uniqueCount="25">
  <si>
    <t>China</t>
  </si>
  <si>
    <t>Japón</t>
  </si>
  <si>
    <t>Medio Oriente</t>
  </si>
  <si>
    <t>ASEAN</t>
  </si>
  <si>
    <t>Unión Europea</t>
  </si>
  <si>
    <t>MERCOSUR</t>
  </si>
  <si>
    <t>NAFTA</t>
  </si>
  <si>
    <t>Chile</t>
  </si>
  <si>
    <t>República de Corea</t>
  </si>
  <si>
    <t>India</t>
  </si>
  <si>
    <t>MAGREB y Egipto</t>
  </si>
  <si>
    <t>La zonas presentadas difieren de las anteriores publicaciones. Se presentan las seleccionadas por el INDEC en sus informes de comercio exterior.</t>
  </si>
  <si>
    <t>Total Provincia</t>
  </si>
  <si>
    <t>CEI</t>
  </si>
  <si>
    <t>Resto</t>
  </si>
  <si>
    <t>SACU</t>
  </si>
  <si>
    <t>Resto de ALADI</t>
  </si>
  <si>
    <t>SICA</t>
  </si>
  <si>
    <t>Suiza</t>
  </si>
  <si>
    <t>Oceanía</t>
  </si>
  <si>
    <t>Millones de US$</t>
  </si>
  <si>
    <t>Zona</t>
  </si>
  <si>
    <r>
      <t>Fuente:</t>
    </r>
    <r>
      <rPr>
        <sz val="8"/>
        <rFont val="Calibri"/>
        <family val="2"/>
        <scheme val="minor"/>
      </rPr>
      <t xml:space="preserve"> Instituto Nacional de Estadística y Censos.</t>
    </r>
  </si>
  <si>
    <r>
      <rPr>
        <b/>
        <sz val="8"/>
        <rFont val="Calibri"/>
        <family val="2"/>
        <scheme val="minor"/>
      </rPr>
      <t>Elaboración</t>
    </r>
    <r>
      <rPr>
        <sz val="8"/>
        <rFont val="Calibri"/>
        <family val="2"/>
        <scheme val="minor"/>
      </rPr>
      <t>: Dirección Provincial de Estadística.</t>
    </r>
  </si>
  <si>
    <t>4. Exportaciones por zonas. Valor F.O.B.. En millones de US$.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</si>
</sst>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_-* #,##0_-;\-* #,##0_-;_-* &quot;-&quot;??_-;_-@_-"/>
  </numFmts>
  <fonts count="10" x14ac:knownFonts="1">
    <font>
      <sz val="10"/>
      <name val="Arial"/>
    </font>
    <font>
      <sz val="10"/>
      <name val="Arial"/>
      <family val="2"/>
    </font>
    <font>
      <b/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sz val="9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43" fontId="3" fillId="0" borderId="0" xfId="1" applyFont="1" applyFill="1" applyBorder="1" applyAlignment="1">
      <alignment horizontal="center" vertical="center" wrapText="1" shrinkToFit="1"/>
    </xf>
    <xf numFmtId="1" fontId="3" fillId="0" borderId="0" xfId="0" applyNumberFormat="1" applyFont="1" applyFill="1" applyBorder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/>
    </xf>
    <xf numFmtId="165" fontId="0" fillId="0" borderId="0" xfId="0" applyNumberFormat="1"/>
    <xf numFmtId="165" fontId="4" fillId="0" borderId="0" xfId="0" applyNumberFormat="1" applyFont="1"/>
    <xf numFmtId="164" fontId="4" fillId="0" borderId="0" xfId="1" applyNumberFormat="1" applyFont="1"/>
    <xf numFmtId="165" fontId="4" fillId="0" borderId="1" xfId="0" applyNumberFormat="1" applyFont="1" applyBorder="1"/>
    <xf numFmtId="164" fontId="4" fillId="0" borderId="1" xfId="1" applyNumberFormat="1" applyFont="1" applyBorder="1"/>
    <xf numFmtId="1" fontId="2" fillId="2" borderId="0" xfId="0" applyNumberFormat="1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showGridLines="0" tabSelected="1" workbookViewId="0"/>
  </sheetViews>
  <sheetFormatPr baseColWidth="10" defaultRowHeight="12.75" x14ac:dyDescent="0.2"/>
  <cols>
    <col min="1" max="1" width="21.7109375" style="4" customWidth="1"/>
    <col min="2" max="4" width="12.7109375" style="3" customWidth="1"/>
    <col min="5" max="5" width="12.140625" style="4" bestFit="1" customWidth="1"/>
    <col min="6" max="6" width="13" style="4" bestFit="1" customWidth="1"/>
    <col min="7" max="16384" width="11.42578125" style="4"/>
  </cols>
  <sheetData>
    <row r="1" spans="1:12" ht="18" customHeight="1" x14ac:dyDescent="0.2">
      <c r="A1" s="2" t="s">
        <v>24</v>
      </c>
    </row>
    <row r="2" spans="1:12" ht="18" customHeight="1" x14ac:dyDescent="0.2">
      <c r="A2" s="2"/>
    </row>
    <row r="3" spans="1:12" ht="18" customHeight="1" x14ac:dyDescent="0.2">
      <c r="A3" s="2"/>
    </row>
    <row r="4" spans="1:12" s="5" customFormat="1" ht="18" customHeight="1" x14ac:dyDescent="0.2">
      <c r="A4" s="25" t="s">
        <v>21</v>
      </c>
      <c r="B4" s="1">
        <v>2015</v>
      </c>
      <c r="C4" s="1">
        <v>2016</v>
      </c>
      <c r="D4" s="1">
        <v>2017</v>
      </c>
      <c r="E4" s="1">
        <v>2018</v>
      </c>
      <c r="F4" s="1">
        <v>2019</v>
      </c>
    </row>
    <row r="5" spans="1:12" s="6" customFormat="1" ht="18" customHeight="1" x14ac:dyDescent="0.2">
      <c r="A5" s="26"/>
      <c r="B5" s="27" t="s">
        <v>20</v>
      </c>
      <c r="C5" s="28"/>
      <c r="D5" s="28"/>
      <c r="E5" s="28"/>
      <c r="F5" s="28"/>
    </row>
    <row r="6" spans="1:12" s="6" customFormat="1" ht="18" customHeight="1" x14ac:dyDescent="0.2">
      <c r="B6" s="7"/>
      <c r="C6" s="7"/>
      <c r="D6" s="7"/>
    </row>
    <row r="7" spans="1:12" s="23" customFormat="1" ht="18" customHeight="1" x14ac:dyDescent="0.2">
      <c r="A7" s="21" t="s">
        <v>12</v>
      </c>
      <c r="B7" s="22">
        <v>18962.339311999996</v>
      </c>
      <c r="C7" s="22">
        <v>18534.181731999997</v>
      </c>
      <c r="D7" s="22">
        <v>19240.843731779998</v>
      </c>
      <c r="E7" s="22">
        <v>21290.125882450004</v>
      </c>
      <c r="F7" s="22">
        <v>22984.253105670017</v>
      </c>
    </row>
    <row r="8" spans="1:12" s="6" customFormat="1" ht="18" customHeight="1" x14ac:dyDescent="0.2">
      <c r="A8" s="8"/>
      <c r="F8" s="9"/>
      <c r="G8" s="9"/>
      <c r="H8" s="9"/>
      <c r="I8" s="9"/>
      <c r="J8" s="9"/>
      <c r="K8" s="9"/>
      <c r="L8" s="9"/>
    </row>
    <row r="9" spans="1:12" ht="18" customHeight="1" x14ac:dyDescent="0.2">
      <c r="A9" s="17" t="s">
        <v>5</v>
      </c>
      <c r="B9" s="18">
        <v>8333.6491530000003</v>
      </c>
      <c r="C9" s="18">
        <v>7079.8716759999998</v>
      </c>
      <c r="D9" s="18">
        <v>7158.590483609998</v>
      </c>
      <c r="E9" s="18">
        <v>8216.0593041899938</v>
      </c>
      <c r="F9" s="18">
        <v>7440.067040130004</v>
      </c>
      <c r="H9" s="24"/>
    </row>
    <row r="10" spans="1:12" ht="18" customHeight="1" x14ac:dyDescent="0.2">
      <c r="A10" s="17" t="s">
        <v>0</v>
      </c>
      <c r="B10" s="18">
        <v>1589.2515290000001</v>
      </c>
      <c r="C10" s="18">
        <v>1494.5618840000002</v>
      </c>
      <c r="D10" s="18">
        <v>1320.146194779999</v>
      </c>
      <c r="E10" s="18">
        <v>1264.2245289400003</v>
      </c>
      <c r="F10" s="18">
        <v>2414.5855656599992</v>
      </c>
      <c r="H10" s="24"/>
    </row>
    <row r="11" spans="1:12" ht="18" customHeight="1" x14ac:dyDescent="0.2">
      <c r="A11" s="17" t="s">
        <v>16</v>
      </c>
      <c r="B11" s="18">
        <v>1086.125505</v>
      </c>
      <c r="C11" s="18">
        <v>1118.9280020000001</v>
      </c>
      <c r="D11" s="18">
        <v>1441.9743603800039</v>
      </c>
      <c r="E11" s="18">
        <v>1757.4056081400024</v>
      </c>
      <c r="F11" s="18">
        <v>1868.9789454800052</v>
      </c>
      <c r="H11" s="24"/>
    </row>
    <row r="12" spans="1:12" ht="18" customHeight="1" x14ac:dyDescent="0.2">
      <c r="A12" s="17" t="s">
        <v>4</v>
      </c>
      <c r="B12" s="18">
        <v>1561.2082420000002</v>
      </c>
      <c r="C12" s="18">
        <v>1722.005766</v>
      </c>
      <c r="D12" s="18">
        <v>1458.1326863799995</v>
      </c>
      <c r="E12" s="18">
        <v>1746.9743060600019</v>
      </c>
      <c r="F12" s="18">
        <v>1685.7808550000029</v>
      </c>
      <c r="H12" s="24"/>
    </row>
    <row r="13" spans="1:12" ht="18" customHeight="1" x14ac:dyDescent="0.2">
      <c r="A13" s="17" t="s">
        <v>6</v>
      </c>
      <c r="B13" s="18">
        <v>1246.439699</v>
      </c>
      <c r="C13" s="18">
        <v>1493.7806340000002</v>
      </c>
      <c r="D13" s="18">
        <v>1515.6733972200009</v>
      </c>
      <c r="E13" s="18">
        <v>1566.7745651300027</v>
      </c>
      <c r="F13" s="18">
        <v>1476.9079618000005</v>
      </c>
      <c r="H13" s="24"/>
    </row>
    <row r="14" spans="1:12" ht="18" customHeight="1" x14ac:dyDescent="0.2">
      <c r="A14" s="17" t="s">
        <v>3</v>
      </c>
      <c r="B14" s="18">
        <v>799.805475</v>
      </c>
      <c r="C14" s="18">
        <v>1098.621431</v>
      </c>
      <c r="D14" s="18">
        <v>941.70596326999987</v>
      </c>
      <c r="E14" s="18">
        <v>1060.1062696200008</v>
      </c>
      <c r="F14" s="18">
        <v>1338.7111806300004</v>
      </c>
      <c r="H14" s="24"/>
    </row>
    <row r="15" spans="1:12" ht="18" customHeight="1" x14ac:dyDescent="0.2">
      <c r="A15" s="17" t="s">
        <v>7</v>
      </c>
      <c r="B15" s="18">
        <v>1149.3515160000002</v>
      </c>
      <c r="C15" s="18">
        <v>1101.44325</v>
      </c>
      <c r="D15" s="18">
        <v>1231.3312868800008</v>
      </c>
      <c r="E15" s="18">
        <v>1420.8092283999981</v>
      </c>
      <c r="F15" s="18">
        <v>1188.16817636</v>
      </c>
      <c r="H15" s="24"/>
    </row>
    <row r="16" spans="1:12" ht="18" customHeight="1" x14ac:dyDescent="0.2">
      <c r="A16" s="17" t="s">
        <v>2</v>
      </c>
      <c r="B16" s="18">
        <v>570.40637300000003</v>
      </c>
      <c r="C16" s="18">
        <v>757.49610100000007</v>
      </c>
      <c r="D16" s="18">
        <v>841.27356218999989</v>
      </c>
      <c r="E16" s="18">
        <v>1055.7851529400007</v>
      </c>
      <c r="F16" s="18">
        <v>1161.8124953899996</v>
      </c>
      <c r="H16" s="24"/>
    </row>
    <row r="17" spans="1:8" ht="18" customHeight="1" x14ac:dyDescent="0.2">
      <c r="A17" s="17" t="s">
        <v>10</v>
      </c>
      <c r="B17" s="18">
        <v>498.01252099999999</v>
      </c>
      <c r="C17" s="18">
        <v>691.075873</v>
      </c>
      <c r="D17" s="18">
        <v>746.77692611999964</v>
      </c>
      <c r="E17" s="18">
        <v>735.86836697000092</v>
      </c>
      <c r="F17" s="18">
        <v>770.51172304999955</v>
      </c>
      <c r="H17" s="24"/>
    </row>
    <row r="18" spans="1:8" ht="18" customHeight="1" x14ac:dyDescent="0.2">
      <c r="A18" s="17" t="s">
        <v>17</v>
      </c>
      <c r="B18" s="18">
        <v>162.29558300000002</v>
      </c>
      <c r="C18" s="18">
        <v>181.112889</v>
      </c>
      <c r="D18" s="18">
        <v>481.06404640000005</v>
      </c>
      <c r="E18" s="18">
        <v>466.24466231999975</v>
      </c>
      <c r="F18" s="18">
        <v>504.58684840000035</v>
      </c>
      <c r="H18" s="24"/>
    </row>
    <row r="19" spans="1:8" ht="18" customHeight="1" x14ac:dyDescent="0.2">
      <c r="A19" s="17" t="s">
        <v>9</v>
      </c>
      <c r="B19" s="18">
        <v>413.08526699999999</v>
      </c>
      <c r="C19" s="18">
        <v>465.21050799999995</v>
      </c>
      <c r="D19" s="18">
        <v>424.95756588000006</v>
      </c>
      <c r="E19" s="18">
        <v>293.2694005300001</v>
      </c>
      <c r="F19" s="18">
        <v>459.69814675999999</v>
      </c>
      <c r="H19" s="24"/>
    </row>
    <row r="20" spans="1:8" ht="18" customHeight="1" x14ac:dyDescent="0.2">
      <c r="A20" s="17" t="s">
        <v>19</v>
      </c>
      <c r="B20" s="18">
        <v>453.71878600000002</v>
      </c>
      <c r="C20" s="18">
        <v>280.54124000000002</v>
      </c>
      <c r="D20" s="18">
        <v>524.79060595999988</v>
      </c>
      <c r="E20" s="18">
        <v>411.63394563000003</v>
      </c>
      <c r="F20" s="18">
        <v>377.81992821999995</v>
      </c>
      <c r="H20" s="24"/>
    </row>
    <row r="21" spans="1:8" ht="18" customHeight="1" x14ac:dyDescent="0.2">
      <c r="A21" s="17" t="s">
        <v>8</v>
      </c>
      <c r="B21" s="18">
        <v>94.447659000000002</v>
      </c>
      <c r="C21" s="18">
        <v>155.10854599999999</v>
      </c>
      <c r="D21" s="18">
        <v>123.71964680999999</v>
      </c>
      <c r="E21" s="18">
        <v>85.494445790000015</v>
      </c>
      <c r="F21" s="18">
        <v>221.51357070999998</v>
      </c>
      <c r="H21" s="24"/>
    </row>
    <row r="22" spans="1:8" ht="18" customHeight="1" x14ac:dyDescent="0.2">
      <c r="A22" s="17" t="s">
        <v>13</v>
      </c>
      <c r="B22" s="18">
        <v>108.441935</v>
      </c>
      <c r="C22" s="18">
        <v>101.389692</v>
      </c>
      <c r="D22" s="18">
        <v>130.69301311000001</v>
      </c>
      <c r="E22" s="18">
        <v>263.44475400999994</v>
      </c>
      <c r="F22" s="18">
        <v>206.5425396199999</v>
      </c>
      <c r="H22" s="24"/>
    </row>
    <row r="23" spans="1:8" ht="18" customHeight="1" x14ac:dyDescent="0.2">
      <c r="A23" s="17" t="s">
        <v>15</v>
      </c>
      <c r="B23" s="18">
        <v>232.497646</v>
      </c>
      <c r="C23" s="18">
        <v>215.68083799999999</v>
      </c>
      <c r="D23" s="18">
        <v>157.20364872000005</v>
      </c>
      <c r="E23" s="18">
        <v>180.46759865999999</v>
      </c>
      <c r="F23" s="18">
        <v>196.70331375999999</v>
      </c>
      <c r="H23" s="24"/>
    </row>
    <row r="24" spans="1:8" ht="18" customHeight="1" x14ac:dyDescent="0.2">
      <c r="A24" s="17" t="s">
        <v>1</v>
      </c>
      <c r="B24" s="18">
        <v>71.201393999999993</v>
      </c>
      <c r="C24" s="18">
        <v>47.376123</v>
      </c>
      <c r="D24" s="18">
        <v>48.719823649999988</v>
      </c>
      <c r="E24" s="18">
        <v>44.388979729999988</v>
      </c>
      <c r="F24" s="18">
        <v>46.675169780000004</v>
      </c>
      <c r="H24" s="24"/>
    </row>
    <row r="25" spans="1:8" ht="18" customHeight="1" x14ac:dyDescent="0.2">
      <c r="A25" s="17" t="s">
        <v>18</v>
      </c>
      <c r="B25" s="18">
        <v>10.280591000000001</v>
      </c>
      <c r="C25" s="18">
        <v>8.7619140000000009</v>
      </c>
      <c r="D25" s="18">
        <v>11.239716210000005</v>
      </c>
      <c r="E25" s="18">
        <v>12.083163390000003</v>
      </c>
      <c r="F25" s="18">
        <v>10.512831070000001</v>
      </c>
      <c r="H25" s="24"/>
    </row>
    <row r="26" spans="1:8" ht="18" customHeight="1" x14ac:dyDescent="0.2">
      <c r="A26" s="19" t="s">
        <v>14</v>
      </c>
      <c r="B26" s="20">
        <v>582.12043799999992</v>
      </c>
      <c r="C26" s="20">
        <v>521.21536500000002</v>
      </c>
      <c r="D26" s="20">
        <v>682.85080420999941</v>
      </c>
      <c r="E26" s="20">
        <v>709.09160199999997</v>
      </c>
      <c r="F26" s="20">
        <v>1614.6768138500015</v>
      </c>
      <c r="H26" s="24"/>
    </row>
    <row r="27" spans="1:8" ht="18" customHeight="1" x14ac:dyDescent="0.2">
      <c r="B27" s="4"/>
      <c r="C27" s="4"/>
      <c r="D27" s="4"/>
    </row>
    <row r="28" spans="1:8" s="11" customFormat="1" ht="18" customHeight="1" x14ac:dyDescent="0.2">
      <c r="A28" s="11" t="s">
        <v>11</v>
      </c>
      <c r="B28" s="12"/>
      <c r="C28" s="12"/>
      <c r="D28" s="12"/>
    </row>
    <row r="29" spans="1:8" s="11" customFormat="1" ht="18" customHeight="1" x14ac:dyDescent="0.2">
      <c r="A29" s="13" t="s">
        <v>22</v>
      </c>
      <c r="B29" s="12"/>
      <c r="C29" s="12"/>
      <c r="D29" s="12"/>
    </row>
    <row r="30" spans="1:8" s="11" customFormat="1" ht="18" customHeight="1" x14ac:dyDescent="0.2">
      <c r="A30" s="11" t="s">
        <v>23</v>
      </c>
      <c r="B30" s="12"/>
      <c r="C30" s="12"/>
      <c r="D30" s="12"/>
    </row>
    <row r="31" spans="1:8" ht="18" customHeight="1" x14ac:dyDescent="0.2">
      <c r="A31" s="14"/>
      <c r="B31" s="4"/>
      <c r="C31" s="4"/>
      <c r="D31" s="4"/>
    </row>
    <row r="32" spans="1:8" ht="18" customHeight="1" x14ac:dyDescent="0.2">
      <c r="A32" s="10"/>
      <c r="B32" s="4"/>
      <c r="C32" s="4"/>
      <c r="D32" s="4"/>
    </row>
    <row r="33" spans="1:4" ht="18" customHeight="1" x14ac:dyDescent="0.2">
      <c r="A33" s="10"/>
      <c r="B33" s="4"/>
      <c r="C33" s="4"/>
      <c r="D33" s="4"/>
    </row>
    <row r="34" spans="1:4" ht="18" customHeight="1" x14ac:dyDescent="0.2">
      <c r="A34" s="10"/>
      <c r="B34" s="4"/>
      <c r="C34" s="4"/>
      <c r="D34" s="4"/>
    </row>
    <row r="35" spans="1:4" x14ac:dyDescent="0.2">
      <c r="A35" s="10"/>
      <c r="B35" s="4"/>
      <c r="C35" s="4"/>
      <c r="D35" s="4"/>
    </row>
    <row r="36" spans="1:4" x14ac:dyDescent="0.2">
      <c r="A36" s="10"/>
      <c r="B36" s="4"/>
      <c r="C36" s="4"/>
      <c r="D36" s="4"/>
    </row>
    <row r="37" spans="1:4" x14ac:dyDescent="0.2">
      <c r="A37" s="10"/>
      <c r="B37" s="4"/>
      <c r="C37" s="4"/>
      <c r="D37" s="4"/>
    </row>
    <row r="38" spans="1:4" x14ac:dyDescent="0.2">
      <c r="A38" s="10"/>
      <c r="B38" s="4"/>
      <c r="C38" s="4"/>
      <c r="D38" s="4"/>
    </row>
    <row r="39" spans="1:4" x14ac:dyDescent="0.2">
      <c r="A39" s="10"/>
      <c r="B39" s="4"/>
      <c r="C39" s="4"/>
      <c r="D39" s="4"/>
    </row>
    <row r="40" spans="1:4" x14ac:dyDescent="0.2">
      <c r="A40" s="10"/>
      <c r="B40" s="4"/>
      <c r="C40" s="4"/>
      <c r="D40" s="4"/>
    </row>
    <row r="41" spans="1:4" x14ac:dyDescent="0.2">
      <c r="A41" s="10"/>
      <c r="B41" s="4"/>
      <c r="C41" s="4"/>
      <c r="D41" s="4"/>
    </row>
    <row r="42" spans="1:4" x14ac:dyDescent="0.2">
      <c r="A42" s="3"/>
      <c r="B42" s="4"/>
      <c r="C42" s="4"/>
      <c r="D42" s="4"/>
    </row>
    <row r="43" spans="1:4" x14ac:dyDescent="0.2">
      <c r="A43" s="3"/>
      <c r="B43" s="4"/>
      <c r="C43" s="4"/>
      <c r="D43" s="4"/>
    </row>
    <row r="44" spans="1:4" x14ac:dyDescent="0.2">
      <c r="A44" s="3"/>
      <c r="B44" s="4"/>
      <c r="C44" s="4"/>
      <c r="D44" s="4"/>
    </row>
    <row r="45" spans="1:4" x14ac:dyDescent="0.2">
      <c r="A45" s="3"/>
      <c r="B45" s="4"/>
      <c r="C45" s="4"/>
      <c r="D45" s="4"/>
    </row>
    <row r="46" spans="1:4" x14ac:dyDescent="0.2">
      <c r="A46" s="3"/>
    </row>
    <row r="47" spans="1:4" x14ac:dyDescent="0.2">
      <c r="A47" s="3"/>
    </row>
    <row r="48" spans="1:4" x14ac:dyDescent="0.2">
      <c r="A48" s="3"/>
    </row>
    <row r="49" spans="1:1" x14ac:dyDescent="0.2">
      <c r="A49" s="3"/>
    </row>
  </sheetData>
  <sortState ref="A10:H26">
    <sortCondition descending="1" ref="F10:F26"/>
  </sortState>
  <mergeCells count="2">
    <mergeCell ref="A4:A5"/>
    <mergeCell ref="B5:F5"/>
  </mergeCells>
  <phoneticPr fontId="0" type="noConversion"/>
  <pageMargins left="0.75" right="0.75" top="1" bottom="1" header="0" footer="0"/>
  <pageSetup scale="7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21"/>
  <sheetViews>
    <sheetView workbookViewId="0">
      <selection activeCell="B4" sqref="B4:B21"/>
    </sheetView>
  </sheetViews>
  <sheetFormatPr baseColWidth="10" defaultRowHeight="12.75" x14ac:dyDescent="0.2"/>
  <sheetData>
    <row r="4" spans="2:16" x14ac:dyDescent="0.2">
      <c r="B4" s="15" t="s">
        <v>5</v>
      </c>
      <c r="C4" s="16">
        <v>12236992760</v>
      </c>
      <c r="D4" s="16">
        <v>11083635528</v>
      </c>
      <c r="E4" s="16">
        <v>8333649153</v>
      </c>
      <c r="F4" s="16">
        <v>7079871676</v>
      </c>
      <c r="G4" s="16">
        <v>7158590483.6099977</v>
      </c>
      <c r="H4" s="16">
        <v>8216059304.1899929</v>
      </c>
      <c r="I4" s="16">
        <v>7440067040.1300039</v>
      </c>
      <c r="J4">
        <f>+C4/1000000</f>
        <v>12236.992759999999</v>
      </c>
      <c r="K4">
        <f t="shared" ref="K4:K21" si="0">+D4/1000000</f>
        <v>11083.635528000001</v>
      </c>
      <c r="L4">
        <f t="shared" ref="L4:L21" si="1">+E4/1000000</f>
        <v>8333.6491530000003</v>
      </c>
      <c r="M4">
        <f t="shared" ref="M4:M21" si="2">+F4/1000000</f>
        <v>7079.8716759999998</v>
      </c>
      <c r="N4">
        <f t="shared" ref="N4:N21" si="3">+G4/1000000</f>
        <v>7158.590483609998</v>
      </c>
      <c r="O4">
        <f t="shared" ref="O4:O21" si="4">+H4/1000000</f>
        <v>8216.0593041899938</v>
      </c>
      <c r="P4">
        <f t="shared" ref="P4:P21" si="5">+I4/1000000</f>
        <v>7440.067040130004</v>
      </c>
    </row>
    <row r="5" spans="2:16" x14ac:dyDescent="0.2">
      <c r="B5" s="15" t="s">
        <v>0</v>
      </c>
      <c r="C5" s="16">
        <v>1645212622</v>
      </c>
      <c r="D5" s="16">
        <v>1464570283</v>
      </c>
      <c r="E5" s="16">
        <v>1589251529</v>
      </c>
      <c r="F5" s="16">
        <v>1494561884</v>
      </c>
      <c r="G5" s="16">
        <v>1320146194.7799988</v>
      </c>
      <c r="H5" s="16">
        <v>1264224528.9400003</v>
      </c>
      <c r="I5" s="16">
        <v>2414585565.6599994</v>
      </c>
      <c r="J5">
        <f t="shared" ref="J5:J21" si="6">+C5/1000000</f>
        <v>1645.212622</v>
      </c>
      <c r="K5">
        <f t="shared" si="0"/>
        <v>1464.570283</v>
      </c>
      <c r="L5">
        <f t="shared" si="1"/>
        <v>1589.2515289999999</v>
      </c>
      <c r="M5">
        <f t="shared" si="2"/>
        <v>1494.561884</v>
      </c>
      <c r="N5">
        <f t="shared" si="3"/>
        <v>1320.1461947799987</v>
      </c>
      <c r="O5">
        <f t="shared" si="4"/>
        <v>1264.2245289400003</v>
      </c>
      <c r="P5">
        <f t="shared" si="5"/>
        <v>2414.5855656599992</v>
      </c>
    </row>
    <row r="6" spans="2:16" x14ac:dyDescent="0.2">
      <c r="B6" s="15" t="s">
        <v>16</v>
      </c>
      <c r="C6" s="16">
        <v>1653953848</v>
      </c>
      <c r="D6" s="16">
        <v>1424947581</v>
      </c>
      <c r="E6" s="16">
        <v>1086125505</v>
      </c>
      <c r="F6" s="16">
        <v>1118928002</v>
      </c>
      <c r="G6" s="16">
        <v>1441974360.3800039</v>
      </c>
      <c r="H6" s="16">
        <v>1757405608.1400025</v>
      </c>
      <c r="I6" s="16">
        <v>1868978945.480005</v>
      </c>
      <c r="J6">
        <f t="shared" si="6"/>
        <v>1653.9538480000001</v>
      </c>
      <c r="K6">
        <f t="shared" si="0"/>
        <v>1424.9475809999999</v>
      </c>
      <c r="L6">
        <f t="shared" si="1"/>
        <v>1086.125505</v>
      </c>
      <c r="M6">
        <f t="shared" si="2"/>
        <v>1118.9280020000001</v>
      </c>
      <c r="N6">
        <f t="shared" si="3"/>
        <v>1441.9743603800039</v>
      </c>
      <c r="O6">
        <f t="shared" si="4"/>
        <v>1757.4056081400024</v>
      </c>
      <c r="P6">
        <f t="shared" si="5"/>
        <v>1868.978945480005</v>
      </c>
    </row>
    <row r="7" spans="2:16" x14ac:dyDescent="0.2">
      <c r="B7" s="15" t="s">
        <v>4</v>
      </c>
      <c r="C7" s="16">
        <v>1529732781</v>
      </c>
      <c r="D7" s="16">
        <v>1628158379</v>
      </c>
      <c r="E7" s="16">
        <v>1561208242</v>
      </c>
      <c r="F7" s="16">
        <v>1722005766</v>
      </c>
      <c r="G7" s="16">
        <v>1458132686.3799996</v>
      </c>
      <c r="H7" s="16">
        <v>1746974306.0600019</v>
      </c>
      <c r="I7" s="16">
        <v>1685780855.0000031</v>
      </c>
      <c r="J7">
        <f t="shared" si="6"/>
        <v>1529.7327809999999</v>
      </c>
      <c r="K7">
        <f t="shared" si="0"/>
        <v>1628.158379</v>
      </c>
      <c r="L7">
        <f t="shared" si="1"/>
        <v>1561.2082419999999</v>
      </c>
      <c r="M7">
        <f t="shared" si="2"/>
        <v>1722.005766</v>
      </c>
      <c r="N7">
        <f t="shared" si="3"/>
        <v>1458.1326863799995</v>
      </c>
      <c r="O7">
        <f t="shared" si="4"/>
        <v>1746.9743060600019</v>
      </c>
      <c r="P7">
        <f t="shared" si="5"/>
        <v>1685.7808550000032</v>
      </c>
    </row>
    <row r="8" spans="2:16" x14ac:dyDescent="0.2">
      <c r="B8" s="15" t="s">
        <v>6</v>
      </c>
      <c r="C8" s="16">
        <v>1627159448</v>
      </c>
      <c r="D8" s="16">
        <v>1603042709</v>
      </c>
      <c r="E8" s="16">
        <v>1246439699</v>
      </c>
      <c r="F8" s="16">
        <v>1493780634</v>
      </c>
      <c r="G8" s="16">
        <v>1515673397.2200007</v>
      </c>
      <c r="H8" s="16">
        <v>1566774565.1300025</v>
      </c>
      <c r="I8" s="16">
        <v>1476907961.8000007</v>
      </c>
      <c r="J8">
        <f t="shared" si="6"/>
        <v>1627.1594480000001</v>
      </c>
      <c r="K8">
        <f t="shared" si="0"/>
        <v>1603.0427090000001</v>
      </c>
      <c r="L8">
        <f t="shared" si="1"/>
        <v>1246.439699</v>
      </c>
      <c r="M8">
        <f t="shared" si="2"/>
        <v>1493.780634</v>
      </c>
      <c r="N8">
        <f t="shared" si="3"/>
        <v>1515.6733972200007</v>
      </c>
      <c r="O8">
        <f t="shared" si="4"/>
        <v>1566.7745651300024</v>
      </c>
      <c r="P8">
        <f t="shared" si="5"/>
        <v>1476.9079618000007</v>
      </c>
    </row>
    <row r="9" spans="2:16" x14ac:dyDescent="0.2">
      <c r="B9" s="15" t="s">
        <v>3</v>
      </c>
      <c r="C9" s="16">
        <v>717353146</v>
      </c>
      <c r="D9" s="16">
        <v>696161366</v>
      </c>
      <c r="E9" s="16">
        <v>799805475</v>
      </c>
      <c r="F9" s="16">
        <v>1098621431</v>
      </c>
      <c r="G9" s="16">
        <v>941705963.26999986</v>
      </c>
      <c r="H9" s="16">
        <v>1060106269.620001</v>
      </c>
      <c r="I9" s="16">
        <v>1338711180.6300004</v>
      </c>
      <c r="J9">
        <f t="shared" si="6"/>
        <v>717.35314600000004</v>
      </c>
      <c r="K9">
        <f t="shared" si="0"/>
        <v>696.16136600000004</v>
      </c>
      <c r="L9">
        <f t="shared" si="1"/>
        <v>799.805475</v>
      </c>
      <c r="M9">
        <f t="shared" si="2"/>
        <v>1098.621431</v>
      </c>
      <c r="N9">
        <f t="shared" si="3"/>
        <v>941.70596326999987</v>
      </c>
      <c r="O9">
        <f t="shared" si="4"/>
        <v>1060.1062696200011</v>
      </c>
      <c r="P9">
        <f t="shared" si="5"/>
        <v>1338.7111806300004</v>
      </c>
    </row>
    <row r="10" spans="2:16" x14ac:dyDescent="0.2">
      <c r="B10" s="15" t="s">
        <v>7</v>
      </c>
      <c r="C10" s="16">
        <v>1528205348</v>
      </c>
      <c r="D10" s="16">
        <v>1280898363</v>
      </c>
      <c r="E10" s="16">
        <v>1149351516</v>
      </c>
      <c r="F10" s="16">
        <v>1101443250</v>
      </c>
      <c r="G10" s="16">
        <v>1231331286.8800008</v>
      </c>
      <c r="H10" s="16">
        <v>1420809228.3999979</v>
      </c>
      <c r="I10" s="16">
        <v>1188168176.3599999</v>
      </c>
      <c r="J10">
        <f t="shared" si="6"/>
        <v>1528.205348</v>
      </c>
      <c r="K10">
        <f t="shared" si="0"/>
        <v>1280.898363</v>
      </c>
      <c r="L10">
        <f t="shared" si="1"/>
        <v>1149.3515159999999</v>
      </c>
      <c r="M10">
        <f t="shared" si="2"/>
        <v>1101.44325</v>
      </c>
      <c r="N10">
        <f t="shared" si="3"/>
        <v>1231.3312868800008</v>
      </c>
      <c r="O10">
        <f t="shared" si="4"/>
        <v>1420.8092283999979</v>
      </c>
      <c r="P10">
        <f t="shared" si="5"/>
        <v>1188.16817636</v>
      </c>
    </row>
    <row r="11" spans="2:16" x14ac:dyDescent="0.2">
      <c r="B11" s="15" t="s">
        <v>2</v>
      </c>
      <c r="C11" s="16">
        <v>1333935653</v>
      </c>
      <c r="D11" s="16">
        <v>1033819856</v>
      </c>
      <c r="E11" s="16">
        <v>570406373</v>
      </c>
      <c r="F11" s="16">
        <v>757496101</v>
      </c>
      <c r="G11" s="16">
        <v>841273562.18999982</v>
      </c>
      <c r="H11" s="16">
        <v>1055785152.9400007</v>
      </c>
      <c r="I11" s="16">
        <v>1161812495.3899996</v>
      </c>
      <c r="J11">
        <f t="shared" si="6"/>
        <v>1333.935653</v>
      </c>
      <c r="K11">
        <f t="shared" si="0"/>
        <v>1033.8198560000001</v>
      </c>
      <c r="L11">
        <f t="shared" si="1"/>
        <v>570.40637300000003</v>
      </c>
      <c r="M11">
        <f t="shared" si="2"/>
        <v>757.49610099999995</v>
      </c>
      <c r="N11">
        <f t="shared" si="3"/>
        <v>841.27356218999978</v>
      </c>
      <c r="O11">
        <f t="shared" si="4"/>
        <v>1055.7851529400007</v>
      </c>
      <c r="P11">
        <f t="shared" si="5"/>
        <v>1161.8124953899996</v>
      </c>
    </row>
    <row r="12" spans="2:16" x14ac:dyDescent="0.2">
      <c r="B12" s="15" t="s">
        <v>10</v>
      </c>
      <c r="C12" s="16">
        <v>803886674</v>
      </c>
      <c r="D12" s="16">
        <v>751432191</v>
      </c>
      <c r="E12" s="16">
        <v>498012521</v>
      </c>
      <c r="F12" s="16">
        <v>691075873</v>
      </c>
      <c r="G12" s="16">
        <v>746776926.11999965</v>
      </c>
      <c r="H12" s="16">
        <v>735868366.97000086</v>
      </c>
      <c r="I12" s="16">
        <v>770511723.04999959</v>
      </c>
      <c r="J12">
        <f t="shared" si="6"/>
        <v>803.88667399999997</v>
      </c>
      <c r="K12">
        <f t="shared" si="0"/>
        <v>751.43219099999999</v>
      </c>
      <c r="L12">
        <f t="shared" si="1"/>
        <v>498.01252099999999</v>
      </c>
      <c r="M12">
        <f t="shared" si="2"/>
        <v>691.075873</v>
      </c>
      <c r="N12">
        <f t="shared" si="3"/>
        <v>746.77692611999964</v>
      </c>
      <c r="O12">
        <f t="shared" si="4"/>
        <v>735.86836697000081</v>
      </c>
      <c r="P12">
        <f t="shared" si="5"/>
        <v>770.51172304999955</v>
      </c>
    </row>
    <row r="13" spans="2:16" x14ac:dyDescent="0.2">
      <c r="B13" s="15" t="s">
        <v>17</v>
      </c>
      <c r="C13" s="16">
        <v>252217001</v>
      </c>
      <c r="D13" s="16">
        <v>152357407</v>
      </c>
      <c r="E13" s="16">
        <v>162295583</v>
      </c>
      <c r="F13" s="16">
        <v>181112889</v>
      </c>
      <c r="G13" s="16">
        <v>481064046.40000004</v>
      </c>
      <c r="H13" s="16">
        <v>466244662.31999975</v>
      </c>
      <c r="I13" s="16">
        <v>504586848.40000039</v>
      </c>
      <c r="J13">
        <f t="shared" si="6"/>
        <v>252.21700100000001</v>
      </c>
      <c r="K13">
        <f t="shared" si="0"/>
        <v>152.35740699999999</v>
      </c>
      <c r="L13">
        <f t="shared" si="1"/>
        <v>162.29558299999999</v>
      </c>
      <c r="M13">
        <f t="shared" si="2"/>
        <v>181.112889</v>
      </c>
      <c r="N13">
        <f t="shared" si="3"/>
        <v>481.06404640000005</v>
      </c>
      <c r="O13">
        <f t="shared" si="4"/>
        <v>466.24466231999975</v>
      </c>
      <c r="P13">
        <f t="shared" si="5"/>
        <v>504.58684840000041</v>
      </c>
    </row>
    <row r="14" spans="2:16" x14ac:dyDescent="0.2">
      <c r="B14" s="15" t="s">
        <v>9</v>
      </c>
      <c r="C14" s="16">
        <v>98318016</v>
      </c>
      <c r="D14" s="16">
        <v>236140956</v>
      </c>
      <c r="E14" s="16">
        <v>413085267</v>
      </c>
      <c r="F14" s="16">
        <v>465210508</v>
      </c>
      <c r="G14" s="16">
        <v>424957565.88000005</v>
      </c>
      <c r="H14" s="16">
        <v>293269400.53000009</v>
      </c>
      <c r="I14" s="16">
        <v>459698146.75999999</v>
      </c>
      <c r="J14">
        <f t="shared" si="6"/>
        <v>98.318016</v>
      </c>
      <c r="K14">
        <f t="shared" si="0"/>
        <v>236.14095599999999</v>
      </c>
      <c r="L14">
        <f t="shared" si="1"/>
        <v>413.08526699999999</v>
      </c>
      <c r="M14">
        <f t="shared" si="2"/>
        <v>465.210508</v>
      </c>
      <c r="N14">
        <f t="shared" si="3"/>
        <v>424.95756588000006</v>
      </c>
      <c r="O14">
        <f t="shared" si="4"/>
        <v>293.2694005300001</v>
      </c>
      <c r="P14">
        <f t="shared" si="5"/>
        <v>459.69814675999999</v>
      </c>
    </row>
    <row r="15" spans="2:16" x14ac:dyDescent="0.2">
      <c r="B15" s="15" t="s">
        <v>19</v>
      </c>
      <c r="C15" s="16">
        <v>477750498</v>
      </c>
      <c r="D15" s="16">
        <v>693377976</v>
      </c>
      <c r="E15" s="16">
        <v>453718786</v>
      </c>
      <c r="F15" s="16">
        <v>280541240</v>
      </c>
      <c r="G15" s="16">
        <v>524790605.9599998</v>
      </c>
      <c r="H15" s="16">
        <v>411633945.63000005</v>
      </c>
      <c r="I15" s="16">
        <v>377819928.21999997</v>
      </c>
      <c r="J15">
        <f t="shared" si="6"/>
        <v>477.75049799999999</v>
      </c>
      <c r="K15">
        <f t="shared" si="0"/>
        <v>693.37797599999999</v>
      </c>
      <c r="L15">
        <f t="shared" si="1"/>
        <v>453.71878600000002</v>
      </c>
      <c r="M15">
        <f t="shared" si="2"/>
        <v>280.54124000000002</v>
      </c>
      <c r="N15">
        <f t="shared" si="3"/>
        <v>524.79060595999977</v>
      </c>
      <c r="O15">
        <f t="shared" si="4"/>
        <v>411.63394563000003</v>
      </c>
      <c r="P15">
        <f t="shared" si="5"/>
        <v>377.81992821999995</v>
      </c>
    </row>
    <row r="16" spans="2:16" x14ac:dyDescent="0.2">
      <c r="B16" s="15" t="s">
        <v>8</v>
      </c>
      <c r="C16" s="16">
        <v>246351733</v>
      </c>
      <c r="D16" s="16">
        <v>93924286</v>
      </c>
      <c r="E16" s="16">
        <v>94447659</v>
      </c>
      <c r="F16" s="16">
        <v>155108546</v>
      </c>
      <c r="G16" s="16">
        <v>123719646.80999999</v>
      </c>
      <c r="H16" s="16">
        <v>85494445.790000007</v>
      </c>
      <c r="I16" s="16">
        <v>221513570.70999998</v>
      </c>
      <c r="J16">
        <f t="shared" si="6"/>
        <v>246.351733</v>
      </c>
      <c r="K16">
        <f t="shared" si="0"/>
        <v>93.924285999999995</v>
      </c>
      <c r="L16">
        <f t="shared" si="1"/>
        <v>94.447659000000002</v>
      </c>
      <c r="M16">
        <f t="shared" si="2"/>
        <v>155.10854599999999</v>
      </c>
      <c r="N16">
        <f t="shared" si="3"/>
        <v>123.71964680999999</v>
      </c>
      <c r="O16">
        <f t="shared" si="4"/>
        <v>85.49444579</v>
      </c>
      <c r="P16">
        <f t="shared" si="5"/>
        <v>221.51357070999998</v>
      </c>
    </row>
    <row r="17" spans="2:16" x14ac:dyDescent="0.2">
      <c r="B17" s="15" t="s">
        <v>13</v>
      </c>
      <c r="C17" s="16">
        <v>187959215</v>
      </c>
      <c r="D17" s="16">
        <v>214361862</v>
      </c>
      <c r="E17" s="16">
        <v>108441935</v>
      </c>
      <c r="F17" s="16">
        <v>101389692</v>
      </c>
      <c r="G17" s="16">
        <v>130693013.11000001</v>
      </c>
      <c r="H17" s="16">
        <v>263444754.00999993</v>
      </c>
      <c r="I17" s="16">
        <v>206542539.61999992</v>
      </c>
      <c r="J17">
        <f t="shared" si="6"/>
        <v>187.959215</v>
      </c>
      <c r="K17">
        <f t="shared" si="0"/>
        <v>214.361862</v>
      </c>
      <c r="L17">
        <f t="shared" si="1"/>
        <v>108.441935</v>
      </c>
      <c r="M17">
        <f t="shared" si="2"/>
        <v>101.389692</v>
      </c>
      <c r="N17">
        <f t="shared" si="3"/>
        <v>130.69301311000001</v>
      </c>
      <c r="O17">
        <f t="shared" si="4"/>
        <v>263.44475400999994</v>
      </c>
      <c r="P17">
        <f t="shared" si="5"/>
        <v>206.54253961999993</v>
      </c>
    </row>
    <row r="18" spans="2:16" x14ac:dyDescent="0.2">
      <c r="B18" s="15" t="s">
        <v>15</v>
      </c>
      <c r="C18" s="16">
        <v>214993834</v>
      </c>
      <c r="D18" s="16">
        <v>159390177</v>
      </c>
      <c r="E18" s="16">
        <v>232497646</v>
      </c>
      <c r="F18" s="16">
        <v>215680838</v>
      </c>
      <c r="G18" s="16">
        <v>157203648.72000006</v>
      </c>
      <c r="H18" s="16">
        <v>180467598.66</v>
      </c>
      <c r="I18" s="16">
        <v>196703313.75999999</v>
      </c>
      <c r="J18">
        <f t="shared" si="6"/>
        <v>214.99383399999999</v>
      </c>
      <c r="K18">
        <f t="shared" si="0"/>
        <v>159.39017699999999</v>
      </c>
      <c r="L18">
        <f t="shared" si="1"/>
        <v>232.497646</v>
      </c>
      <c r="M18">
        <f t="shared" si="2"/>
        <v>215.68083799999999</v>
      </c>
      <c r="N18">
        <f t="shared" si="3"/>
        <v>157.20364872000005</v>
      </c>
      <c r="O18">
        <f t="shared" si="4"/>
        <v>180.46759865999999</v>
      </c>
      <c r="P18">
        <f t="shared" si="5"/>
        <v>196.70331375999999</v>
      </c>
    </row>
    <row r="19" spans="2:16" x14ac:dyDescent="0.2">
      <c r="B19" s="15" t="s">
        <v>1</v>
      </c>
      <c r="C19" s="16">
        <v>260241823</v>
      </c>
      <c r="D19" s="16">
        <v>99877338</v>
      </c>
      <c r="E19" s="16">
        <v>71201394</v>
      </c>
      <c r="F19" s="16">
        <v>47376123</v>
      </c>
      <c r="G19" s="16">
        <v>48719823.649999991</v>
      </c>
      <c r="H19" s="16">
        <v>44388979.729999989</v>
      </c>
      <c r="I19" s="16">
        <v>46675169.780000001</v>
      </c>
      <c r="J19">
        <f t="shared" si="6"/>
        <v>260.24182300000001</v>
      </c>
      <c r="K19">
        <f t="shared" si="0"/>
        <v>99.877337999999995</v>
      </c>
      <c r="L19">
        <f t="shared" si="1"/>
        <v>71.201393999999993</v>
      </c>
      <c r="M19">
        <f t="shared" si="2"/>
        <v>47.376123</v>
      </c>
      <c r="N19">
        <f t="shared" si="3"/>
        <v>48.719823649999988</v>
      </c>
      <c r="O19">
        <f t="shared" si="4"/>
        <v>44.388979729999988</v>
      </c>
      <c r="P19">
        <f t="shared" si="5"/>
        <v>46.675169780000004</v>
      </c>
    </row>
    <row r="20" spans="2:16" x14ac:dyDescent="0.2">
      <c r="B20" s="15" t="s">
        <v>18</v>
      </c>
      <c r="C20" s="16">
        <v>9933423</v>
      </c>
      <c r="D20" s="16">
        <v>13198973</v>
      </c>
      <c r="E20" s="16">
        <v>10280591</v>
      </c>
      <c r="F20" s="16">
        <v>8761914</v>
      </c>
      <c r="G20" s="16">
        <v>11239716.210000005</v>
      </c>
      <c r="H20" s="16">
        <v>12083163.390000002</v>
      </c>
      <c r="I20" s="16">
        <v>10512831.07</v>
      </c>
      <c r="J20">
        <f t="shared" si="6"/>
        <v>9.9334229999999994</v>
      </c>
      <c r="K20">
        <f t="shared" si="0"/>
        <v>13.198973000000001</v>
      </c>
      <c r="L20">
        <f t="shared" si="1"/>
        <v>10.280590999999999</v>
      </c>
      <c r="M20">
        <f t="shared" si="2"/>
        <v>8.7619140000000009</v>
      </c>
      <c r="N20">
        <f t="shared" si="3"/>
        <v>11.239716210000005</v>
      </c>
      <c r="O20">
        <f t="shared" si="4"/>
        <v>12.083163390000003</v>
      </c>
      <c r="P20">
        <f t="shared" si="5"/>
        <v>10.512831070000001</v>
      </c>
    </row>
    <row r="21" spans="2:16" x14ac:dyDescent="0.2">
      <c r="B21" s="15" t="s">
        <v>14</v>
      </c>
      <c r="C21" s="16">
        <v>712790937</v>
      </c>
      <c r="D21" s="16">
        <v>640297510</v>
      </c>
      <c r="E21" s="16">
        <v>582120438</v>
      </c>
      <c r="F21" s="16">
        <v>521215365</v>
      </c>
      <c r="G21" s="16">
        <v>682850804.20999944</v>
      </c>
      <c r="H21" s="16">
        <v>709091602</v>
      </c>
      <c r="I21" s="16">
        <v>1614676813.8500013</v>
      </c>
      <c r="J21">
        <f t="shared" si="6"/>
        <v>712.79093699999999</v>
      </c>
      <c r="K21">
        <f t="shared" si="0"/>
        <v>640.29750999999999</v>
      </c>
      <c r="L21">
        <f t="shared" si="1"/>
        <v>582.12043800000004</v>
      </c>
      <c r="M21">
        <f t="shared" si="2"/>
        <v>521.21536500000002</v>
      </c>
      <c r="N21">
        <f t="shared" si="3"/>
        <v>682.85080420999941</v>
      </c>
      <c r="O21">
        <f t="shared" si="4"/>
        <v>709.09160199999997</v>
      </c>
      <c r="P21">
        <f t="shared" si="5"/>
        <v>1614.6768138500013</v>
      </c>
    </row>
  </sheetData>
  <sortState ref="B4:P20">
    <sortCondition descending="1" ref="P4:P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</vt:lpstr>
      <vt:lpstr>Hoja2</vt:lpstr>
      <vt:lpstr>'4'!Área_de_impresión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2016-10-05T12:41:53Z</cp:lastPrinted>
  <dcterms:created xsi:type="dcterms:W3CDTF">2007-10-10T21:58:32Z</dcterms:created>
  <dcterms:modified xsi:type="dcterms:W3CDTF">2020-10-20T11:11:39Z</dcterms:modified>
</cp:coreProperties>
</file>