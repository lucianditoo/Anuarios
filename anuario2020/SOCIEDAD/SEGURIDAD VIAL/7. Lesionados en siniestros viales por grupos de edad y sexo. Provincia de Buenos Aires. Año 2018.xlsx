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X:\A20_CUADROS\3.12. Seguridad Vial\"/>
    </mc:Choice>
  </mc:AlternateContent>
  <bookViews>
    <workbookView xWindow="0" yWindow="0" windowWidth="14175" windowHeight="12075"/>
  </bookViews>
  <sheets>
    <sheet name="7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E18" i="1"/>
  <c r="E17" i="1"/>
  <c r="E16" i="1"/>
  <c r="E15" i="1"/>
  <c r="E14" i="1"/>
  <c r="E13" i="1"/>
  <c r="E12" i="1"/>
  <c r="E11" i="1"/>
  <c r="E10" i="1"/>
  <c r="E9" i="1"/>
  <c r="C18" i="1"/>
  <c r="C17" i="1"/>
  <c r="C16" i="1"/>
  <c r="C15" i="1"/>
  <c r="C14" i="1"/>
  <c r="C13" i="1"/>
  <c r="C12" i="1"/>
  <c r="C11" i="1"/>
  <c r="C10" i="1"/>
  <c r="C9" i="1"/>
  <c r="H7" i="1"/>
  <c r="F7" i="1"/>
  <c r="D7" i="1"/>
  <c r="B7" i="1"/>
</calcChain>
</file>

<file path=xl/sharedStrings.xml><?xml version="1.0" encoding="utf-8"?>
<sst xmlns="http://schemas.openxmlformats.org/spreadsheetml/2006/main" count="48" uniqueCount="24">
  <si>
    <t xml:space="preserve">Total </t>
  </si>
  <si>
    <t>Varones</t>
  </si>
  <si>
    <t>Mujeres</t>
  </si>
  <si>
    <t>Sin determinar</t>
  </si>
  <si>
    <t>Total</t>
  </si>
  <si>
    <t>sin ignorado</t>
  </si>
  <si>
    <t>0-4</t>
  </si>
  <si>
    <t>5-14</t>
  </si>
  <si>
    <t>15-24</t>
  </si>
  <si>
    <t>25-34</t>
  </si>
  <si>
    <t>35-44</t>
  </si>
  <si>
    <t>45-54</t>
  </si>
  <si>
    <t>55-64</t>
  </si>
  <si>
    <t>65-74</t>
  </si>
  <si>
    <t>75 y más</t>
  </si>
  <si>
    <t>Grupos de edad</t>
  </si>
  <si>
    <t>-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</si>
  <si>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</si>
  <si>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</si>
  <si>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</si>
  <si>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t>Departamento Provincial de Planificación y Policiamiento Predictivo, Ministerio de Seguridad de la provincia de Buenos Aires.</t>
  </si>
  <si>
    <t>Base de datos de Egresos Hospitalarios - Dirección de Información en Salud - Ministerio de Salud de la Provincia de Buenos Aires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</si>
  <si>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</si>
  <si>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7. Lesionados en siniestros viales por grupos de edad y sexo. Provincia de Buenos Aires. Año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</si>
</sst>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0" xfId="0" quotePrefix="1" applyNumberFormat="1" applyFont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/>
  </sheetViews>
  <sheetFormatPr baseColWidth="10" defaultColWidth="12.7109375" defaultRowHeight="18" customHeight="1" x14ac:dyDescent="0.25"/>
  <cols>
    <col min="1" max="7" width="12.7109375" style="2"/>
    <col min="8" max="8" width="12.7109375" style="2" customWidth="1"/>
    <col min="9" max="16384" width="12.7109375" style="2"/>
  </cols>
  <sheetData>
    <row r="1" spans="1:9" ht="18" customHeight="1" x14ac:dyDescent="0.25">
      <c r="A1" s="1" t="s">
        <v>23</v>
      </c>
    </row>
    <row r="2" spans="1:9" ht="18" customHeight="1" x14ac:dyDescent="0.25">
      <c r="A2" s="1"/>
    </row>
    <row r="3" spans="1:9" ht="18" customHeight="1" x14ac:dyDescent="0.25">
      <c r="A3" s="22" t="s">
        <v>15</v>
      </c>
      <c r="B3" s="25">
        <v>2018</v>
      </c>
      <c r="C3" s="26"/>
      <c r="D3" s="26"/>
      <c r="E3" s="26"/>
      <c r="F3" s="26"/>
      <c r="G3" s="26"/>
      <c r="H3" s="26"/>
      <c r="I3" s="26"/>
    </row>
    <row r="4" spans="1:9" ht="18" customHeight="1" x14ac:dyDescent="0.25">
      <c r="A4" s="22"/>
      <c r="B4" s="21" t="s">
        <v>0</v>
      </c>
      <c r="C4" s="21"/>
      <c r="D4" s="21" t="s">
        <v>1</v>
      </c>
      <c r="E4" s="21"/>
      <c r="F4" s="21" t="s">
        <v>2</v>
      </c>
      <c r="G4" s="21"/>
      <c r="H4" s="23" t="s">
        <v>3</v>
      </c>
      <c r="I4" s="24"/>
    </row>
    <row r="5" spans="1:9" ht="18" customHeight="1" x14ac:dyDescent="0.25">
      <c r="A5" s="22"/>
      <c r="B5" s="18" t="s">
        <v>17</v>
      </c>
      <c r="C5" s="18" t="s">
        <v>18</v>
      </c>
      <c r="D5" s="18" t="s">
        <v>17</v>
      </c>
      <c r="E5" s="18" t="s">
        <v>18</v>
      </c>
      <c r="F5" s="18" t="s">
        <v>17</v>
      </c>
      <c r="G5" s="18" t="s">
        <v>18</v>
      </c>
      <c r="H5" s="18" t="s">
        <v>17</v>
      </c>
      <c r="I5" s="18" t="s">
        <v>18</v>
      </c>
    </row>
    <row r="6" spans="1:9" ht="18" customHeight="1" x14ac:dyDescent="0.25">
      <c r="A6" s="3"/>
      <c r="B6" s="3"/>
      <c r="C6" s="3"/>
      <c r="D6" s="3"/>
      <c r="E6" s="3"/>
      <c r="F6" s="3"/>
      <c r="G6" s="3"/>
      <c r="H6" s="3"/>
    </row>
    <row r="7" spans="1:9" ht="18" customHeight="1" x14ac:dyDescent="0.25">
      <c r="A7" s="16" t="s">
        <v>4</v>
      </c>
      <c r="B7" s="8">
        <f>SUM(B9:B18)</f>
        <v>44268</v>
      </c>
      <c r="C7" s="29">
        <v>100</v>
      </c>
      <c r="D7" s="8">
        <f t="shared" ref="D7:H7" si="0">SUM(D9:D18)</f>
        <v>29822</v>
      </c>
      <c r="E7" s="29">
        <v>100</v>
      </c>
      <c r="F7" s="8">
        <f t="shared" si="0"/>
        <v>13564</v>
      </c>
      <c r="G7" s="29">
        <v>100</v>
      </c>
      <c r="H7" s="8">
        <f t="shared" si="0"/>
        <v>882</v>
      </c>
      <c r="I7" s="27">
        <v>100</v>
      </c>
    </row>
    <row r="8" spans="1:9" ht="18" customHeight="1" x14ac:dyDescent="0.25">
      <c r="A8" s="4" t="s">
        <v>5</v>
      </c>
      <c r="B8" s="5"/>
      <c r="C8" s="5"/>
      <c r="D8" s="6"/>
      <c r="E8" s="6"/>
      <c r="F8" s="6"/>
      <c r="G8" s="6"/>
      <c r="H8" s="7"/>
      <c r="I8" s="11"/>
    </row>
    <row r="9" spans="1:9" ht="18" customHeight="1" x14ac:dyDescent="0.25">
      <c r="A9" s="9" t="s">
        <v>6</v>
      </c>
      <c r="B9" s="17">
        <v>1038</v>
      </c>
      <c r="C9" s="19">
        <f>(B9*100)/B7</f>
        <v>2.344808891298455</v>
      </c>
      <c r="D9" s="17">
        <v>680</v>
      </c>
      <c r="E9" s="19">
        <f>(D9*100)/D7</f>
        <v>2.2801958285829254</v>
      </c>
      <c r="F9" s="17">
        <v>358</v>
      </c>
      <c r="G9" s="19">
        <f>(F9*100)/F7</f>
        <v>2.6393394278973754</v>
      </c>
      <c r="H9" s="15" t="s">
        <v>16</v>
      </c>
      <c r="I9" s="15" t="s">
        <v>16</v>
      </c>
    </row>
    <row r="10" spans="1:9" ht="18" customHeight="1" x14ac:dyDescent="0.25">
      <c r="A10" s="9" t="s">
        <v>7</v>
      </c>
      <c r="B10" s="17">
        <v>1817</v>
      </c>
      <c r="C10" s="19">
        <f>(B10*100)/B7</f>
        <v>4.1045450438239808</v>
      </c>
      <c r="D10" s="17">
        <v>1051</v>
      </c>
      <c r="E10" s="19">
        <f>(D10*100)/D7</f>
        <v>3.5242438468244921</v>
      </c>
      <c r="F10" s="17">
        <v>766</v>
      </c>
      <c r="G10" s="19">
        <f>(F10*100)/F7</f>
        <v>5.6473016809200827</v>
      </c>
      <c r="H10" s="15" t="s">
        <v>16</v>
      </c>
      <c r="I10" s="15" t="s">
        <v>16</v>
      </c>
    </row>
    <row r="11" spans="1:9" ht="18" customHeight="1" x14ac:dyDescent="0.25">
      <c r="A11" s="9" t="s">
        <v>8</v>
      </c>
      <c r="B11" s="17">
        <v>10288</v>
      </c>
      <c r="C11" s="19">
        <f>(B11*100)/B7</f>
        <v>23.240263847474473</v>
      </c>
      <c r="D11" s="17">
        <v>7512</v>
      </c>
      <c r="E11" s="19">
        <f>(D11*100)/D7</f>
        <v>25.189457447521963</v>
      </c>
      <c r="F11" s="17">
        <v>2776</v>
      </c>
      <c r="G11" s="19">
        <f>(F11*100)/F7</f>
        <v>20.465939250958421</v>
      </c>
      <c r="H11" s="15" t="s">
        <v>16</v>
      </c>
      <c r="I11" s="15" t="s">
        <v>16</v>
      </c>
    </row>
    <row r="12" spans="1:9" ht="18" customHeight="1" x14ac:dyDescent="0.25">
      <c r="A12" s="9" t="s">
        <v>9</v>
      </c>
      <c r="B12" s="17">
        <v>10083</v>
      </c>
      <c r="C12" s="19">
        <f>(B12*100)/B7</f>
        <v>22.777175386283545</v>
      </c>
      <c r="D12" s="17">
        <v>7262</v>
      </c>
      <c r="E12" s="19">
        <f>(D12*100)/D7</f>
        <v>24.351150157601772</v>
      </c>
      <c r="F12" s="17">
        <v>2821</v>
      </c>
      <c r="G12" s="19">
        <f>(F12*100)/F7</f>
        <v>20.797699793571219</v>
      </c>
      <c r="H12" s="15" t="s">
        <v>16</v>
      </c>
      <c r="I12" s="15" t="s">
        <v>16</v>
      </c>
    </row>
    <row r="13" spans="1:9" ht="18" customHeight="1" x14ac:dyDescent="0.25">
      <c r="A13" s="9" t="s">
        <v>10</v>
      </c>
      <c r="B13" s="17">
        <v>6526</v>
      </c>
      <c r="C13" s="19">
        <f>(B13*100)/B7</f>
        <v>14.742025842595103</v>
      </c>
      <c r="D13" s="17">
        <v>4412</v>
      </c>
      <c r="E13" s="19">
        <f>(D13*100)/D7</f>
        <v>14.794447052511568</v>
      </c>
      <c r="F13" s="17">
        <v>2114</v>
      </c>
      <c r="G13" s="19">
        <f>(F13*100)/F7</f>
        <v>15.585373046299027</v>
      </c>
      <c r="H13" s="15" t="s">
        <v>16</v>
      </c>
      <c r="I13" s="15" t="s">
        <v>16</v>
      </c>
    </row>
    <row r="14" spans="1:9" ht="18" customHeight="1" x14ac:dyDescent="0.25">
      <c r="A14" s="9" t="s">
        <v>11</v>
      </c>
      <c r="B14" s="17">
        <v>3866</v>
      </c>
      <c r="C14" s="19">
        <f>(B14*100)/B7</f>
        <v>8.7331706876298902</v>
      </c>
      <c r="D14" s="17">
        <v>2474</v>
      </c>
      <c r="E14" s="19">
        <f>(D14*100)/D7</f>
        <v>8.2958889410502312</v>
      </c>
      <c r="F14" s="17">
        <v>1392</v>
      </c>
      <c r="G14" s="19">
        <f>(F14*100)/F7</f>
        <v>10.262459451489237</v>
      </c>
      <c r="H14" s="15" t="s">
        <v>16</v>
      </c>
      <c r="I14" s="15" t="s">
        <v>16</v>
      </c>
    </row>
    <row r="15" spans="1:9" ht="18" customHeight="1" x14ac:dyDescent="0.25">
      <c r="A15" s="9" t="s">
        <v>12</v>
      </c>
      <c r="B15" s="17">
        <v>2188</v>
      </c>
      <c r="C15" s="19">
        <f>(B15*100)/B7</f>
        <v>4.9426222101743926</v>
      </c>
      <c r="D15" s="17">
        <v>1338</v>
      </c>
      <c r="E15" s="19">
        <f>(D15*100)/D7</f>
        <v>4.4866206156528738</v>
      </c>
      <c r="F15" s="17">
        <v>850</v>
      </c>
      <c r="G15" s="19">
        <f>(F15*100)/F7</f>
        <v>6.2665880271306396</v>
      </c>
      <c r="H15" s="15" t="s">
        <v>16</v>
      </c>
      <c r="I15" s="15" t="s">
        <v>16</v>
      </c>
    </row>
    <row r="16" spans="1:9" ht="18" customHeight="1" x14ac:dyDescent="0.25">
      <c r="A16" s="9" t="s">
        <v>13</v>
      </c>
      <c r="B16" s="17">
        <v>1288</v>
      </c>
      <c r="C16" s="19">
        <f>(B16*100)/B7</f>
        <v>2.9095509171410501</v>
      </c>
      <c r="D16" s="17">
        <v>790</v>
      </c>
      <c r="E16" s="19">
        <f>(D16*100)/D7</f>
        <v>2.6490510361478101</v>
      </c>
      <c r="F16" s="17">
        <v>498</v>
      </c>
      <c r="G16" s="19">
        <f>(F16*100)/F7</f>
        <v>3.6714833382483043</v>
      </c>
      <c r="H16" s="15" t="s">
        <v>16</v>
      </c>
      <c r="I16" s="15" t="s">
        <v>16</v>
      </c>
    </row>
    <row r="17" spans="1:9" ht="18" customHeight="1" x14ac:dyDescent="0.25">
      <c r="A17" s="9" t="s">
        <v>14</v>
      </c>
      <c r="B17" s="17">
        <v>609</v>
      </c>
      <c r="C17" s="19">
        <f>(B17*100)/B7</f>
        <v>1.3757115749525617</v>
      </c>
      <c r="D17" s="17">
        <v>339</v>
      </c>
      <c r="E17" s="19">
        <f>(D17*100)/D7</f>
        <v>1.136744685131782</v>
      </c>
      <c r="F17" s="17">
        <v>270</v>
      </c>
      <c r="G17" s="19">
        <f>(F17*100)/F7</f>
        <v>1.9905632556767916</v>
      </c>
      <c r="H17" s="15" t="s">
        <v>16</v>
      </c>
      <c r="I17" s="15" t="s">
        <v>16</v>
      </c>
    </row>
    <row r="18" spans="1:9" ht="18" customHeight="1" x14ac:dyDescent="0.25">
      <c r="A18" s="10" t="s">
        <v>3</v>
      </c>
      <c r="B18" s="14">
        <v>6565</v>
      </c>
      <c r="C18" s="20">
        <f>(B18*100)/B7</f>
        <v>14.830125598626548</v>
      </c>
      <c r="D18" s="14">
        <v>3964</v>
      </c>
      <c r="E18" s="20">
        <f>(D18*100)/D7</f>
        <v>13.292200388974582</v>
      </c>
      <c r="F18" s="14">
        <v>1719</v>
      </c>
      <c r="G18" s="20">
        <f>(F18*100)/F7</f>
        <v>12.673252727808906</v>
      </c>
      <c r="H18" s="14">
        <v>882</v>
      </c>
      <c r="I18" s="28">
        <v>100</v>
      </c>
    </row>
    <row r="20" spans="1:9" ht="18" customHeight="1" x14ac:dyDescent="0.25">
      <c r="A20" s="13" t="s">
        <v>19</v>
      </c>
    </row>
    <row r="21" spans="1:9" ht="18" customHeight="1" x14ac:dyDescent="0.25">
      <c r="A21" s="12" t="s">
        <v>20</v>
      </c>
    </row>
    <row r="22" spans="1:9" ht="18" customHeight="1" x14ac:dyDescent="0.25">
      <c r="A22" s="12" t="s">
        <v>21</v>
      </c>
    </row>
    <row r="23" spans="1:9" ht="18" customHeight="1" x14ac:dyDescent="0.25">
      <c r="A23" s="13" t="s">
        <v>22</v>
      </c>
    </row>
  </sheetData>
  <mergeCells count="6">
    <mergeCell ref="B4:C4"/>
    <mergeCell ref="D4:E4"/>
    <mergeCell ref="F4:G4"/>
    <mergeCell ref="A3:A5"/>
    <mergeCell ref="H4:I4"/>
    <mergeCell ref="B3:I3"/>
  </mergeCells>
  <pageMargins left="0.7" right="0.7" top="0.75" bottom="0.75" header="0.3" footer="0.3"/>
  <pageSetup orientation="portrait" r:id="rId1"/>
  <ignoredErrors>
    <ignoredError sqref="A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Aguirre</dc:creator>
  <cp:lastModifiedBy>Juan Bampi</cp:lastModifiedBy>
  <dcterms:created xsi:type="dcterms:W3CDTF">2020-08-14T18:23:43Z</dcterms:created>
  <dcterms:modified xsi:type="dcterms:W3CDTF">2020-09-18T16:39:32Z</dcterms:modified>
</cp:coreProperties>
</file>