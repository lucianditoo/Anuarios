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\ANUARIO 2021\economia\Graficos\"/>
    </mc:Choice>
  </mc:AlternateContent>
  <bookViews>
    <workbookView xWindow="0" yWindow="0" windowWidth="18870" windowHeight="6900"/>
  </bookViews>
  <sheets>
    <sheet name="3. G. 1." sheetId="1" r:id="rId1"/>
    <sheet name="Hoja1" sheetId="2" state="hidden" r:id="rId2"/>
  </sheets>
  <definedNames>
    <definedName name="_xlnm.Print_Area" localSheetId="0">'3. G. 1.'!$A$1:$H$27</definedName>
  </definedNames>
  <calcPr calcId="162913"/>
</workbook>
</file>

<file path=xl/calcChain.xml><?xml version="1.0" encoding="utf-8"?>
<calcChain xmlns="http://schemas.openxmlformats.org/spreadsheetml/2006/main">
  <c r="E22" i="2" l="1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<sst xmlns="http://schemas.openxmlformats.org/spreadsheetml/2006/main" count="45" uniqueCount="42">
  <si>
    <t>Total VAB a precios básicos</t>
  </si>
  <si>
    <t>SECTORES PRODUCTORES DE BIENES</t>
  </si>
  <si>
    <t>A</t>
  </si>
  <si>
    <t>B</t>
  </si>
  <si>
    <t>C</t>
  </si>
  <si>
    <t>D</t>
  </si>
  <si>
    <t>E</t>
  </si>
  <si>
    <t>F</t>
  </si>
  <si>
    <t>SECTORES PRODUCTORES DE SERVICIOS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</si>
  <si>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</si>
  <si>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</si>
  <si>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</si>
  <si>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</si>
  <si>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</si>
  <si>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</si>
  <si>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</si>
  <si>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</si>
  <si>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</si>
  <si>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</si>
  <si>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Comercio al por mayor, al por menor y reparaciones</t>
  </si>
  <si>
    <t>Servicios de hotelería y restaurantes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</si>
  <si>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</si>
  <si>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</si>
  <si>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</si>
  <si>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</si>
  <si>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</si>
  <si>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</si>
  <si>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>Comercio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</si>
  <si>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</si>
  <si>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</si>
  <si>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</si>
  <si>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</si>
  <si>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</si>
  <si>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</si>
  <si>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</si>
  <si>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</si>
  <si>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</si>
  <si>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r>
      <t>Nota:</t>
    </r>
    <r>
      <rPr>
        <sz val="8"/>
        <rFont val="Calibri"/>
        <family val="2"/>
        <scheme val="minor"/>
      </rPr>
      <t xml:space="preserve">  </t>
    </r>
    <r>
      <rPr>
        <vertAlign val="superscript"/>
        <sz val="8"/>
        <rFont val="Calibri"/>
        <family val="2"/>
        <scheme val="minor"/>
      </rPr>
      <t>(1)</t>
    </r>
    <r>
      <rPr>
        <sz val="8"/>
        <rFont val="Calibri"/>
        <family val="2"/>
        <scheme val="minor"/>
      </rPr>
      <t xml:space="preserve"> Datos preliminares.</t>
    </r>
  </si>
  <si>
    <r>
      <t xml:space="preserve">Fuente: </t>
    </r>
    <r>
      <rPr>
        <sz val="8"/>
        <rFont val="Calibri"/>
        <family val="2"/>
        <scheme val="minor"/>
      </rPr>
      <t>Dirección Provincial de Estadística.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</si>
  <si>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</si>
  <si>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En porcentaje</t>
  </si>
  <si>
    <r>
      <t>3.G.1.Participación en el Valor Agregado Bruto a precios básicos de 2004 por sector de actividad económica. Provincia de Buenos Aires. Año 2020</t>
    </r>
    <r>
      <rPr>
        <b/>
        <vertAlign val="superscript"/>
        <sz val="10"/>
        <color theme="1"/>
        <rFont val="Calibri"/>
        <family val="2"/>
        <scheme val="minor"/>
      </rPr>
      <t xml:space="preserve"> 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</si>
</sst>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 applyFill="1" applyBorder="1" applyAlignment="1">
      <alignment horizontal="left" vertical="center"/>
    </xf>
    <xf numFmtId="0" fontId="3" fillId="2" borderId="0" xfId="0" applyFont="1" applyFill="1"/>
    <xf numFmtId="0" fontId="7" fillId="2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" fillId="2" borderId="0" xfId="0" applyFont="1" applyFill="1"/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vertical="center"/>
    </xf>
    <xf numFmtId="0" fontId="12" fillId="0" borderId="0" xfId="0" applyFont="1"/>
    <xf numFmtId="0" fontId="13" fillId="2" borderId="0" xfId="0" applyFont="1" applyFill="1" applyBorder="1" applyAlignment="1">
      <alignment vertical="center"/>
    </xf>
    <xf numFmtId="2" fontId="12" fillId="2" borderId="0" xfId="0" applyNumberFormat="1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 applyProtection="1">
      <alignment vertical="center"/>
    </xf>
    <xf numFmtId="3" fontId="12" fillId="2" borderId="0" xfId="0" applyNumberFormat="1" applyFont="1" applyFill="1" applyAlignment="1">
      <alignment vertical="center"/>
    </xf>
    <xf numFmtId="165" fontId="12" fillId="2" borderId="0" xfId="1" applyNumberFormat="1" applyFont="1" applyFill="1" applyBorder="1" applyAlignment="1">
      <alignment vertical="center"/>
    </xf>
    <xf numFmtId="3" fontId="12" fillId="2" borderId="0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AEC3"/>
      <color rgb="FF009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AEC3"/>
            </a:solidFill>
          </c:spPr>
          <c:invertIfNegative val="0"/>
          <c:dPt>
            <c:idx val="6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1-61C2-43F8-9925-6FFCA74E9108}"/>
              </c:ext>
            </c:extLst>
          </c:dPt>
          <c:dPt>
            <c:idx val="7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3-61C2-43F8-9925-6FFCA74E9108}"/>
              </c:ext>
            </c:extLst>
          </c:dPt>
          <c:dPt>
            <c:idx val="8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5-61C2-43F8-9925-6FFCA74E9108}"/>
              </c:ext>
            </c:extLst>
          </c:dPt>
          <c:dPt>
            <c:idx val="9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7-61C2-43F8-9925-6FFCA74E9108}"/>
              </c:ext>
            </c:extLst>
          </c:dPt>
          <c:dPt>
            <c:idx val="10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9-61C2-43F8-9925-6FFCA74E9108}"/>
              </c:ext>
            </c:extLst>
          </c:dPt>
          <c:dPt>
            <c:idx val="11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B-61C2-43F8-9925-6FFCA74E9108}"/>
              </c:ext>
            </c:extLst>
          </c:dPt>
          <c:dPt>
            <c:idx val="12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D-61C2-43F8-9925-6FFCA74E9108}"/>
              </c:ext>
            </c:extLst>
          </c:dPt>
          <c:dPt>
            <c:idx val="13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F-61C2-43F8-9925-6FFCA74E9108}"/>
              </c:ext>
            </c:extLst>
          </c:dPt>
          <c:dPt>
            <c:idx val="14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11-61C2-43F8-9925-6FFCA74E9108}"/>
              </c:ext>
            </c:extLst>
          </c:dPt>
          <c:dPt>
            <c:idx val="15"/>
            <c:invertIfNegative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13-61C2-43F8-9925-6FFCA74E910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9AC3"/>
                    </a:solidFill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Hoja1!$C$7:$C$22</c:f>
              <c:strCache>
                <c:ptCount val="16"/>
                <c:pt idx="0">
                  <c:v>Pesca y servicios conexos </c:v>
                </c:pt>
                <c:pt idx="1">
                  <c:v>Explotación de minas y canteras </c:v>
                </c:pt>
                <c:pt idx="2">
                  <c:v>Servicios de hotelería y restaurantes </c:v>
                </c:pt>
                <c:pt idx="3">
                  <c:v>Servicios de los hogares privados que contratan servicio doméstico </c:v>
                </c:pt>
                <c:pt idx="4">
                  <c:v>Otros servicios comunitarios, sociales y personales </c:v>
                </c:pt>
                <c:pt idx="5">
                  <c:v>Electricidad, gas y agua </c:v>
                </c:pt>
                <c:pt idx="6">
                  <c:v>Intermediación financiera y otros servicios financieros </c:v>
                </c:pt>
                <c:pt idx="7">
                  <c:v>Construcción </c:v>
                </c:pt>
                <c:pt idx="8">
                  <c:v>Servicios sociales y de salud </c:v>
                </c:pt>
                <c:pt idx="9">
                  <c:v>Administración pública, defensa y seguridad social obligatoria </c:v>
                </c:pt>
                <c:pt idx="10">
                  <c:v>Enseñanza </c:v>
                </c:pt>
                <c:pt idx="11">
                  <c:v>Servicio de transporte, de almacenamiento y de comunicaciones </c:v>
                </c:pt>
                <c:pt idx="12">
                  <c:v>Agricultura, ganadería, caza y silvicultura </c:v>
                </c:pt>
                <c:pt idx="13">
                  <c:v>Servicios inmobiliarios, empresariales y de alquiler </c:v>
                </c:pt>
                <c:pt idx="14">
                  <c:v>Comercio</c:v>
                </c:pt>
                <c:pt idx="15">
                  <c:v>Industria Manufacturera </c:v>
                </c:pt>
              </c:strCache>
            </c:strRef>
          </c:cat>
          <c:val>
            <c:numRef>
              <c:f>Hoja1!$E$7:$E$22</c:f>
              <c:numCache>
                <c:formatCode>0.0%</c:formatCode>
                <c:ptCount val="16"/>
                <c:pt idx="0">
                  <c:v>3.0307259880429441E-3</c:v>
                </c:pt>
                <c:pt idx="1">
                  <c:v>3.3018955014555798E-3</c:v>
                </c:pt>
                <c:pt idx="2">
                  <c:v>8.2013666229378192E-3</c:v>
                </c:pt>
                <c:pt idx="3">
                  <c:v>8.2310272111939999E-3</c:v>
                </c:pt>
                <c:pt idx="4">
                  <c:v>1.9073677236979766E-2</c:v>
                </c:pt>
                <c:pt idx="5">
                  <c:v>2.0499938438066537E-2</c:v>
                </c:pt>
                <c:pt idx="6">
                  <c:v>2.3871514989637042E-2</c:v>
                </c:pt>
                <c:pt idx="7">
                  <c:v>3.598729128084973E-2</c:v>
                </c:pt>
                <c:pt idx="8">
                  <c:v>3.7678682073622294E-2</c:v>
                </c:pt>
                <c:pt idx="9">
                  <c:v>4.0188281744479179E-2</c:v>
                </c:pt>
                <c:pt idx="10">
                  <c:v>4.3149053484403808E-2</c:v>
                </c:pt>
                <c:pt idx="11">
                  <c:v>9.1481630646592538E-2</c:v>
                </c:pt>
                <c:pt idx="12">
                  <c:v>0.10709092959550506</c:v>
                </c:pt>
                <c:pt idx="13">
                  <c:v>0.133959493057348</c:v>
                </c:pt>
                <c:pt idx="14">
                  <c:v>0.15833383460220368</c:v>
                </c:pt>
                <c:pt idx="15">
                  <c:v>0.26592065752668204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1C2-43F8-9925-6FFCA74E9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364794624"/>
        <c:axId val="364787552"/>
      </c:barChart>
      <c:valAx>
        <c:axId val="364787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crossAx val="364794624"/>
        <c:crosses val="autoZero"/>
        <c:crossBetween val="between"/>
      </c:valAx>
      <c:catAx>
        <c:axId val="36479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crossAx val="36478755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14</xdr:col>
      <xdr:colOff>76199</xdr:colOff>
      <xdr:row>26</xdr:row>
      <xdr:rowOff>161925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abSelected="1" workbookViewId="0"/>
  </sheetViews>
  <sheetFormatPr baseColWidth="10" defaultRowHeight="15" x14ac:dyDescent="0.25"/>
  <cols>
    <col min="1" max="3" width="11" style="2"/>
    <col min="4" max="4" width="3" style="2" customWidth="1"/>
    <col min="5" max="16384" width="11" style="2"/>
  </cols>
  <sheetData>
    <row r="1" spans="1:7" x14ac:dyDescent="0.25">
      <c r="A1" s="5" t="s">
        <v>41</v>
      </c>
      <c r="B1" s="6"/>
      <c r="C1" s="6"/>
      <c r="D1" s="6"/>
      <c r="E1" s="6"/>
      <c r="F1" s="6"/>
      <c r="G1" s="6"/>
    </row>
    <row r="2" spans="1:7" x14ac:dyDescent="0.25">
      <c r="A2" s="5" t="s">
        <v>40</v>
      </c>
      <c r="B2" s="6"/>
      <c r="C2" s="6"/>
      <c r="D2" s="6"/>
      <c r="E2" s="6"/>
      <c r="F2" s="6"/>
      <c r="G2" s="6"/>
    </row>
    <row r="5" spans="1:7" s="7" customFormat="1" ht="18" customHeight="1" x14ac:dyDescent="0.2"/>
    <row r="6" spans="1:7" s="7" customFormat="1" ht="18" customHeight="1" x14ac:dyDescent="0.2"/>
    <row r="7" spans="1:7" s="7" customFormat="1" ht="18" customHeight="1" x14ac:dyDescent="0.2"/>
    <row r="8" spans="1:7" s="7" customFormat="1" ht="18" customHeight="1" x14ac:dyDescent="0.2"/>
    <row r="9" spans="1:7" s="7" customFormat="1" ht="18" customHeight="1" x14ac:dyDescent="0.2"/>
    <row r="10" spans="1:7" s="7" customFormat="1" ht="18" customHeight="1" x14ac:dyDescent="0.2"/>
    <row r="11" spans="1:7" s="7" customFormat="1" ht="18" customHeight="1" x14ac:dyDescent="0.2"/>
    <row r="12" spans="1:7" s="7" customFormat="1" ht="18" customHeight="1" x14ac:dyDescent="0.2"/>
    <row r="13" spans="1:7" s="7" customFormat="1" ht="18" customHeight="1" x14ac:dyDescent="0.2"/>
    <row r="14" spans="1:7" s="7" customFormat="1" ht="18" customHeight="1" x14ac:dyDescent="0.2"/>
    <row r="15" spans="1:7" s="7" customFormat="1" ht="18" customHeight="1" x14ac:dyDescent="0.2"/>
    <row r="16" spans="1:7" s="7" customFormat="1" ht="18" customHeight="1" x14ac:dyDescent="0.2"/>
    <row r="17" spans="1:5" s="7" customFormat="1" ht="18" customHeight="1" x14ac:dyDescent="0.2"/>
    <row r="18" spans="1:5" s="7" customFormat="1" ht="18" customHeight="1" x14ac:dyDescent="0.2"/>
    <row r="19" spans="1:5" s="7" customFormat="1" ht="18" customHeight="1" x14ac:dyDescent="0.2"/>
    <row r="20" spans="1:5" s="7" customFormat="1" ht="18" customHeight="1" x14ac:dyDescent="0.2"/>
    <row r="21" spans="1:5" s="7" customFormat="1" ht="18" customHeight="1" x14ac:dyDescent="0.2"/>
    <row r="22" spans="1:5" s="7" customFormat="1" ht="18" customHeight="1" x14ac:dyDescent="0.2"/>
    <row r="23" spans="1:5" s="7" customFormat="1" ht="18" customHeight="1" x14ac:dyDescent="0.2"/>
    <row r="24" spans="1:5" s="8" customFormat="1" ht="18" customHeight="1" x14ac:dyDescent="0.2"/>
    <row r="25" spans="1:5" s="10" customFormat="1" ht="18" customHeight="1" x14ac:dyDescent="0.2">
      <c r="A25" s="9"/>
      <c r="D25" s="9" t="s">
        <v>8</v>
      </c>
    </row>
    <row r="26" spans="1:5" s="10" customFormat="1" ht="18" customHeight="1" x14ac:dyDescent="0.2">
      <c r="A26" s="9"/>
      <c r="D26" s="10" t="s">
        <v>9</v>
      </c>
      <c r="E26" s="10" t="s">
        <v>19</v>
      </c>
    </row>
    <row r="27" spans="1:5" s="10" customFormat="1" ht="18" customHeight="1" x14ac:dyDescent="0.2">
      <c r="A27" s="9"/>
      <c r="D27" s="10" t="s">
        <v>10</v>
      </c>
      <c r="E27" s="10" t="s">
        <v>20</v>
      </c>
    </row>
    <row r="28" spans="1:5" x14ac:dyDescent="0.25">
      <c r="A28" s="1" t="s">
        <v>37</v>
      </c>
      <c r="D28" s="3"/>
    </row>
    <row r="29" spans="1:5" x14ac:dyDescent="0.25">
      <c r="A29" s="4" t="s">
        <v>38</v>
      </c>
    </row>
    <row r="30" spans="1:5" x14ac:dyDescent="0.25">
      <c r="A30" s="4" t="s">
        <v>39</v>
      </c>
    </row>
  </sheetData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2"/>
  <sheetViews>
    <sheetView showGridLines="0" workbookViewId="0">
      <selection sqref="A1:M1048576"/>
    </sheetView>
  </sheetViews>
  <sheetFormatPr baseColWidth="10" defaultRowHeight="24" customHeight="1" x14ac:dyDescent="0.2"/>
  <cols>
    <col min="1" max="1" width="11" style="14"/>
    <col min="2" max="2" width="2.125" style="14" bestFit="1" customWidth="1"/>
    <col min="3" max="3" width="47.875" style="14" bestFit="1" customWidth="1"/>
    <col min="4" max="4" width="5.75" style="14" bestFit="1" customWidth="1"/>
    <col min="5" max="5" width="4.625" style="14" bestFit="1" customWidth="1"/>
    <col min="6" max="16384" width="11" style="14"/>
  </cols>
  <sheetData>
    <row r="4" spans="2:5" ht="24" customHeight="1" x14ac:dyDescent="0.2">
      <c r="B4" s="11"/>
      <c r="C4" s="12" t="s">
        <v>0</v>
      </c>
      <c r="D4" s="13">
        <v>183019.58168995834</v>
      </c>
      <c r="E4" s="11">
        <f>+D4/$D$4*100</f>
        <v>100</v>
      </c>
    </row>
    <row r="5" spans="2:5" ht="24" customHeight="1" x14ac:dyDescent="0.2">
      <c r="B5" s="11"/>
      <c r="C5" s="15" t="s">
        <v>1</v>
      </c>
      <c r="D5" s="13">
        <v>79765.687530599622</v>
      </c>
      <c r="E5" s="16">
        <f>+D5/$D$4*100</f>
        <v>43.583143833060184</v>
      </c>
    </row>
    <row r="6" spans="2:5" ht="24" customHeight="1" x14ac:dyDescent="0.2">
      <c r="B6" s="11"/>
      <c r="C6" s="15" t="s">
        <v>8</v>
      </c>
      <c r="D6" s="13">
        <v>103253.89415935872</v>
      </c>
      <c r="E6" s="16">
        <f>+D6/$D$4*100</f>
        <v>56.416856166939823</v>
      </c>
    </row>
    <row r="7" spans="2:5" ht="24" customHeight="1" x14ac:dyDescent="0.2">
      <c r="B7" s="17" t="s">
        <v>3</v>
      </c>
      <c r="C7" s="18" t="s">
        <v>22</v>
      </c>
      <c r="D7" s="19">
        <v>554.6822025485053</v>
      </c>
      <c r="E7" s="20">
        <f>+D7/$D$4</f>
        <v>3.0307259880429441E-3</v>
      </c>
    </row>
    <row r="8" spans="2:5" ht="24" customHeight="1" x14ac:dyDescent="0.2">
      <c r="B8" s="17" t="s">
        <v>4</v>
      </c>
      <c r="C8" s="18" t="s">
        <v>23</v>
      </c>
      <c r="D8" s="19">
        <v>604.31153346035546</v>
      </c>
      <c r="E8" s="20">
        <f t="shared" ref="E8:E22" si="0">+D8/$D$4</f>
        <v>3.3018955014555798E-3</v>
      </c>
    </row>
    <row r="9" spans="2:5" ht="24" customHeight="1" x14ac:dyDescent="0.2">
      <c r="B9" s="17" t="s">
        <v>10</v>
      </c>
      <c r="C9" s="11" t="s">
        <v>28</v>
      </c>
      <c r="D9" s="21">
        <v>1501.0106886160661</v>
      </c>
      <c r="E9" s="20">
        <f t="shared" si="0"/>
        <v>8.2013666229378192E-3</v>
      </c>
    </row>
    <row r="10" spans="2:5" ht="24" customHeight="1" x14ac:dyDescent="0.2">
      <c r="B10" s="22" t="s">
        <v>18</v>
      </c>
      <c r="C10" s="11" t="s">
        <v>36</v>
      </c>
      <c r="D10" s="19">
        <v>1506.4391570713901</v>
      </c>
      <c r="E10" s="20">
        <f t="shared" si="0"/>
        <v>8.2310272111939999E-3</v>
      </c>
    </row>
    <row r="11" spans="2:5" ht="24" customHeight="1" x14ac:dyDescent="0.2">
      <c r="B11" s="17" t="s">
        <v>17</v>
      </c>
      <c r="C11" s="18" t="s">
        <v>35</v>
      </c>
      <c r="D11" s="19">
        <v>3490.856429201317</v>
      </c>
      <c r="E11" s="20">
        <f t="shared" si="0"/>
        <v>1.9073677236979766E-2</v>
      </c>
    </row>
    <row r="12" spans="2:5" ht="24" customHeight="1" x14ac:dyDescent="0.2">
      <c r="B12" s="22" t="s">
        <v>6</v>
      </c>
      <c r="C12" s="11" t="s">
        <v>25</v>
      </c>
      <c r="D12" s="19">
        <v>3751.8901576048356</v>
      </c>
      <c r="E12" s="20">
        <f t="shared" si="0"/>
        <v>2.0499938438066537E-2</v>
      </c>
    </row>
    <row r="13" spans="2:5" ht="24" customHeight="1" x14ac:dyDescent="0.2">
      <c r="B13" s="22" t="s">
        <v>12</v>
      </c>
      <c r="C13" s="11" t="s">
        <v>30</v>
      </c>
      <c r="D13" s="19">
        <v>4368.9546877089415</v>
      </c>
      <c r="E13" s="20">
        <f t="shared" si="0"/>
        <v>2.3871514989637042E-2</v>
      </c>
    </row>
    <row r="14" spans="2:5" ht="24" customHeight="1" x14ac:dyDescent="0.2">
      <c r="B14" s="22" t="s">
        <v>7</v>
      </c>
      <c r="C14" s="11" t="s">
        <v>26</v>
      </c>
      <c r="D14" s="19">
        <v>6586.3789963758027</v>
      </c>
      <c r="E14" s="20">
        <f t="shared" si="0"/>
        <v>3.598729128084973E-2</v>
      </c>
    </row>
    <row r="15" spans="2:5" ht="24" customHeight="1" x14ac:dyDescent="0.2">
      <c r="B15" s="22" t="s">
        <v>16</v>
      </c>
      <c r="C15" s="11" t="s">
        <v>34</v>
      </c>
      <c r="D15" s="19">
        <v>6895.936631743285</v>
      </c>
      <c r="E15" s="20">
        <f t="shared" si="0"/>
        <v>3.7678682073622294E-2</v>
      </c>
    </row>
    <row r="16" spans="2:5" ht="24" customHeight="1" x14ac:dyDescent="0.2">
      <c r="B16" s="17" t="s">
        <v>14</v>
      </c>
      <c r="C16" s="18" t="s">
        <v>32</v>
      </c>
      <c r="D16" s="19">
        <v>7355.2425137127684</v>
      </c>
      <c r="E16" s="20">
        <f t="shared" si="0"/>
        <v>4.0188281744479179E-2</v>
      </c>
    </row>
    <row r="17" spans="2:5" ht="24" customHeight="1" x14ac:dyDescent="0.2">
      <c r="B17" s="22" t="s">
        <v>15</v>
      </c>
      <c r="C17" s="11" t="s">
        <v>33</v>
      </c>
      <c r="D17" s="19">
        <v>7897.1217190332245</v>
      </c>
      <c r="E17" s="20">
        <f t="shared" si="0"/>
        <v>4.3149053484403808E-2</v>
      </c>
    </row>
    <row r="18" spans="2:5" ht="24" customHeight="1" x14ac:dyDescent="0.2">
      <c r="B18" s="22" t="s">
        <v>11</v>
      </c>
      <c r="C18" s="11" t="s">
        <v>29</v>
      </c>
      <c r="D18" s="19">
        <v>16742.92977325464</v>
      </c>
      <c r="E18" s="20">
        <f t="shared" si="0"/>
        <v>9.1481630646592538E-2</v>
      </c>
    </row>
    <row r="19" spans="2:5" ht="24" customHeight="1" x14ac:dyDescent="0.2">
      <c r="B19" s="17" t="s">
        <v>2</v>
      </c>
      <c r="C19" s="18" t="s">
        <v>21</v>
      </c>
      <c r="D19" s="19">
        <v>19599.737137358115</v>
      </c>
      <c r="E19" s="20">
        <f t="shared" si="0"/>
        <v>0.10709092959550506</v>
      </c>
    </row>
    <row r="20" spans="2:5" ht="24" customHeight="1" x14ac:dyDescent="0.2">
      <c r="B20" s="22" t="s">
        <v>13</v>
      </c>
      <c r="C20" s="11" t="s">
        <v>31</v>
      </c>
      <c r="D20" s="19">
        <v>24517.210382754711</v>
      </c>
      <c r="E20" s="20">
        <f t="shared" si="0"/>
        <v>0.133959493057348</v>
      </c>
    </row>
    <row r="21" spans="2:5" ht="24" customHeight="1" x14ac:dyDescent="0.2">
      <c r="B21" s="22" t="s">
        <v>9</v>
      </c>
      <c r="C21" s="11" t="s">
        <v>27</v>
      </c>
      <c r="D21" s="19">
        <v>28978.192176262368</v>
      </c>
      <c r="E21" s="20">
        <f t="shared" si="0"/>
        <v>0.15833383460220368</v>
      </c>
    </row>
    <row r="22" spans="2:5" ht="24" customHeight="1" x14ac:dyDescent="0.2">
      <c r="B22" s="17" t="s">
        <v>5</v>
      </c>
      <c r="C22" s="18" t="s">
        <v>24</v>
      </c>
      <c r="D22" s="19">
        <v>48668.687503252018</v>
      </c>
      <c r="E22" s="20">
        <f t="shared" si="0"/>
        <v>0.26592065752668204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 G. 1.</vt:lpstr>
      <vt:lpstr>Hoja1</vt:lpstr>
      <vt:lpstr>'3. G. 1.'!Área_de_impresión</vt:lpstr>
    </vt:vector>
  </TitlesOfParts>
  <Company>DPE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Simiand</dc:creator>
  <cp:lastModifiedBy>Trini Pagella</cp:lastModifiedBy>
  <cp:lastPrinted>2019-02-15T15:52:19Z</cp:lastPrinted>
  <dcterms:created xsi:type="dcterms:W3CDTF">2018-10-23T15:15:06Z</dcterms:created>
  <dcterms:modified xsi:type="dcterms:W3CDTF">2021-11-17T16:13:30Z</dcterms:modified>
</cp:coreProperties>
</file>